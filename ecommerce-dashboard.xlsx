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Users\abupa\Downloads\"/>
    </mc:Choice>
  </mc:AlternateContent>
  <xr:revisionPtr revIDLastSave="0" documentId="13_ncr:1_{BEF1FB6E-7BD3-4E60-89AD-FD041810A3D1}" xr6:coauthVersionLast="47" xr6:coauthVersionMax="47" xr10:uidLastSave="{00000000-0000-0000-0000-000000000000}"/>
  <bookViews>
    <workbookView xWindow="-110" yWindow="-110" windowWidth="19420" windowHeight="12220" activeTab="4" xr2:uid="{346724B3-1C49-40AE-AA36-C77CF5D6DD09}"/>
  </bookViews>
  <sheets>
    <sheet name="Data" sheetId="1" r:id="rId1"/>
    <sheet name="Questions &amp; KPIs" sheetId="2" r:id="rId2"/>
    <sheet name="Pivots" sheetId="5" r:id="rId3"/>
    <sheet name="Sheet2" sheetId="8" r:id="rId4"/>
    <sheet name="Dashboard" sheetId="3" r:id="rId5"/>
    <sheet name="Logo &amp; Colors" sheetId="4" r:id="rId6"/>
  </sheets>
  <definedNames>
    <definedName name="_xlchart.v5.0" hidden="1">Pivots!$J$74:$K$74</definedName>
    <definedName name="_xlchart.v5.1" hidden="1">Pivots!$J$75:$K$132</definedName>
    <definedName name="_xlchart.v5.10" hidden="1">Pivots!$H$75:$H$132</definedName>
    <definedName name="_xlchart.v5.11" hidden="1">Pivots!$H$75:$H$134</definedName>
    <definedName name="_xlchart.v5.2" hidden="1">Pivots!$L$73</definedName>
    <definedName name="_xlchart.v5.3" hidden="1">Pivots!$L$74</definedName>
    <definedName name="_xlchart.v5.4" hidden="1">Pivots!$L$75:$L$132</definedName>
    <definedName name="_xlchart.v5.5" hidden="1">Pivots!$F$74:$G$74</definedName>
    <definedName name="_xlchart.v5.6" hidden="1">Pivots!$F$75:$G$132</definedName>
    <definedName name="_xlchart.v5.7" hidden="1">Pivots!$F$75:$G$134</definedName>
    <definedName name="_xlchart.v5.8" hidden="1">Pivots!$H$73</definedName>
    <definedName name="_xlchart.v5.9" hidden="1">Pivots!$H$74</definedName>
    <definedName name="Slicer_Gender_Value">#N/A</definedName>
    <definedName name="Slicer_Order_Mod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76" i="5" l="1"/>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75" i="5"/>
  <c r="J76" i="5"/>
  <c r="K76" i="5"/>
  <c r="J77" i="5"/>
  <c r="K77" i="5"/>
  <c r="J78" i="5"/>
  <c r="K78" i="5"/>
  <c r="J79" i="5"/>
  <c r="K79" i="5"/>
  <c r="J80" i="5"/>
  <c r="K80" i="5"/>
  <c r="J81" i="5"/>
  <c r="K81" i="5"/>
  <c r="J82" i="5"/>
  <c r="K82" i="5"/>
  <c r="J83" i="5"/>
  <c r="K83" i="5"/>
  <c r="J84" i="5"/>
  <c r="K84" i="5"/>
  <c r="J85" i="5"/>
  <c r="K85" i="5"/>
  <c r="J86" i="5"/>
  <c r="K86" i="5"/>
  <c r="J87" i="5"/>
  <c r="K87" i="5"/>
  <c r="J88" i="5"/>
  <c r="K88" i="5"/>
  <c r="J89" i="5"/>
  <c r="K89" i="5"/>
  <c r="J90" i="5"/>
  <c r="K90" i="5"/>
  <c r="J91" i="5"/>
  <c r="K91" i="5"/>
  <c r="J92" i="5"/>
  <c r="K92" i="5"/>
  <c r="J93" i="5"/>
  <c r="K93" i="5"/>
  <c r="J94" i="5"/>
  <c r="K94" i="5"/>
  <c r="J95" i="5"/>
  <c r="K95" i="5"/>
  <c r="J96" i="5"/>
  <c r="K96" i="5"/>
  <c r="J97" i="5"/>
  <c r="K97" i="5"/>
  <c r="J98" i="5"/>
  <c r="K98" i="5"/>
  <c r="J99" i="5"/>
  <c r="K99" i="5"/>
  <c r="J100" i="5"/>
  <c r="K100" i="5"/>
  <c r="J101" i="5"/>
  <c r="K101" i="5"/>
  <c r="J102" i="5"/>
  <c r="K102" i="5"/>
  <c r="J103" i="5"/>
  <c r="K103" i="5"/>
  <c r="J104" i="5"/>
  <c r="K104" i="5"/>
  <c r="J105" i="5"/>
  <c r="K105" i="5"/>
  <c r="J106" i="5"/>
  <c r="K106" i="5"/>
  <c r="J107" i="5"/>
  <c r="K107" i="5"/>
  <c r="J108" i="5"/>
  <c r="K108" i="5"/>
  <c r="J109" i="5"/>
  <c r="K109" i="5"/>
  <c r="J110" i="5"/>
  <c r="K110" i="5"/>
  <c r="J111" i="5"/>
  <c r="K111" i="5"/>
  <c r="J112" i="5"/>
  <c r="K112" i="5"/>
  <c r="J113" i="5"/>
  <c r="K113" i="5"/>
  <c r="J114" i="5"/>
  <c r="K114" i="5"/>
  <c r="J115" i="5"/>
  <c r="K115" i="5"/>
  <c r="J116" i="5"/>
  <c r="K116" i="5"/>
  <c r="J117" i="5"/>
  <c r="K117" i="5"/>
  <c r="J118" i="5"/>
  <c r="K118" i="5"/>
  <c r="J119" i="5"/>
  <c r="K119" i="5"/>
  <c r="J120" i="5"/>
  <c r="K120" i="5"/>
  <c r="J121" i="5"/>
  <c r="K121" i="5"/>
  <c r="J122" i="5"/>
  <c r="K122" i="5"/>
  <c r="J123" i="5"/>
  <c r="K123" i="5"/>
  <c r="J124" i="5"/>
  <c r="K124" i="5"/>
  <c r="J125" i="5"/>
  <c r="K125" i="5"/>
  <c r="J126" i="5"/>
  <c r="K126" i="5"/>
  <c r="J127" i="5"/>
  <c r="K127" i="5"/>
  <c r="J128" i="5"/>
  <c r="K128" i="5"/>
  <c r="J129" i="5"/>
  <c r="K129" i="5"/>
  <c r="J130" i="5"/>
  <c r="K130" i="5"/>
  <c r="J131" i="5"/>
  <c r="K131" i="5"/>
  <c r="J132" i="5"/>
  <c r="K132" i="5"/>
  <c r="K75" i="5"/>
  <c r="J75" i="5"/>
  <c r="F75" i="5"/>
  <c r="G75" i="5"/>
  <c r="H127" i="5"/>
  <c r="H128" i="5"/>
  <c r="H129" i="5"/>
  <c r="H130" i="5"/>
  <c r="H131" i="5"/>
  <c r="H132" i="5"/>
  <c r="H133" i="5"/>
  <c r="H134" i="5"/>
  <c r="H116" i="5"/>
  <c r="H117" i="5"/>
  <c r="H118" i="5"/>
  <c r="H119" i="5"/>
  <c r="H120" i="5"/>
  <c r="H121" i="5"/>
  <c r="H122" i="5"/>
  <c r="H123" i="5"/>
  <c r="H124" i="5"/>
  <c r="H125" i="5"/>
  <c r="H126" i="5"/>
  <c r="H103" i="5"/>
  <c r="H104" i="5"/>
  <c r="H105" i="5"/>
  <c r="H106" i="5"/>
  <c r="H107" i="5"/>
  <c r="H108" i="5"/>
  <c r="H109" i="5"/>
  <c r="H110" i="5"/>
  <c r="H111" i="5"/>
  <c r="H112" i="5"/>
  <c r="H113" i="5"/>
  <c r="H114" i="5"/>
  <c r="H115" i="5"/>
  <c r="H86" i="5"/>
  <c r="H87" i="5"/>
  <c r="H88" i="5"/>
  <c r="H89" i="5"/>
  <c r="H90" i="5"/>
  <c r="H91" i="5"/>
  <c r="H92" i="5"/>
  <c r="H93" i="5"/>
  <c r="H94" i="5"/>
  <c r="H95" i="5"/>
  <c r="H96" i="5"/>
  <c r="H97" i="5"/>
  <c r="H98" i="5"/>
  <c r="H99" i="5"/>
  <c r="H100" i="5"/>
  <c r="H101" i="5"/>
  <c r="H102" i="5"/>
  <c r="H76" i="5"/>
  <c r="H77" i="5"/>
  <c r="H78" i="5"/>
  <c r="H79" i="5"/>
  <c r="H80" i="5"/>
  <c r="H81" i="5"/>
  <c r="H82" i="5"/>
  <c r="H83" i="5"/>
  <c r="H84" i="5"/>
  <c r="H85" i="5"/>
  <c r="H75" i="5"/>
  <c r="F133" i="5"/>
  <c r="F134"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O2" i="1" a="1"/>
  <c r="O2" i="1" s="1"/>
  <c r="G70" i="5"/>
  <c r="J4" i="8"/>
  <c r="K4" i="8"/>
  <c r="L4" i="8"/>
  <c r="I4" i="8"/>
  <c r="I5" i="8"/>
  <c r="J5" i="8"/>
  <c r="K5" i="8"/>
  <c r="L5" i="8"/>
  <c r="I6" i="8"/>
  <c r="J6" i="8"/>
  <c r="K6" i="8"/>
  <c r="L6" i="8"/>
  <c r="I7" i="8"/>
  <c r="J7" i="8"/>
  <c r="K7" i="8"/>
  <c r="L7" i="8"/>
  <c r="I8" i="8"/>
  <c r="J8" i="8"/>
  <c r="K8" i="8"/>
  <c r="L8" i="8"/>
  <c r="I9" i="8"/>
  <c r="J9" i="8"/>
  <c r="K9" i="8"/>
  <c r="L9" i="8"/>
  <c r="H6" i="8"/>
  <c r="H7" i="8"/>
  <c r="H8" i="8"/>
  <c r="H9" i="8"/>
  <c r="H5" i="8"/>
  <c r="K5" i="5"/>
  <c r="J5" i="5"/>
  <c r="I5" i="5"/>
  <c r="H5" i="5"/>
  <c r="G5"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<sst xmlns="http://schemas.openxmlformats.org/spreadsheetml/2006/main" count="14662" uniqueCount="2575">
  <si>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</si>
  <si>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</si>
  <si>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</si>
  <si>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</si>
  <si>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</si>
  <si>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</si>
  <si>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</si>
  <si>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</si>
  <si>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</si>
  <si>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</si>
  <si>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</si>
  <si>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</si>
  <si>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</si>
  <si>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</si>
  <si>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</si>
  <si>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</si>
  <si>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</si>
  <si>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</si>
  <si>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</si>
  <si>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</si>
  <si>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</si>
  <si>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</si>
  <si>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</si>
  <si>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</si>
  <si>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</si>
  <si>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</si>
  <si>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</si>
  <si>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</si>
  <si>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</si>
  <si>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</si>
  <si>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</si>
  <si>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</si>
  <si>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</si>
  <si>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</si>
  <si>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</si>
  <si>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</si>
  <si>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</si>
  <si>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</si>
  <si>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</si>
  <si>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</si>
  <si>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</si>
  <si>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</si>
  <si>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</si>
  <si>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</si>
  <si>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</si>
  <si>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</si>
  <si>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</si>
  <si>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</si>
  <si>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</si>
  <si>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</si>
  <si>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</si>
  <si>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</si>
  <si>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</si>
  <si>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</si>
  <si>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</si>
  <si>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</si>
  <si>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</si>
  <si>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</si>
  <si>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</si>
  <si>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</si>
  <si>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</si>
  <si>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</si>
  <si>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</si>
  <si>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</si>
  <si>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</si>
  <si>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</si>
  <si>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</si>
  <si>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</si>
  <si>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</si>
  <si>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</si>
  <si>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</si>
  <si>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</si>
  <si>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</si>
  <si>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</si>
  <si>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</si>
  <si>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</si>
  <si>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</si>
  <si>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</si>
  <si>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</si>
  <si>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</si>
  <si>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</si>
  <si>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</si>
  <si>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</si>
  <si>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</si>
  <si>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</si>
  <si>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</si>
  <si>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</si>
  <si>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</si>
  <si>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</si>
  <si>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</si>
  <si>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</si>
  <si>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</si>
  <si>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</si>
  <si>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</si>
  <si>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</si>
  <si>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</si>
  <si>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</si>
  <si>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</si>
  <si>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</si>
  <si>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</si>
  <si>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</si>
  <si>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</si>
  <si>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</si>
  <si>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</si>
  <si>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</si>
  <si>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</si>
  <si>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</si>
  <si>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</si>
  <si>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</si>
  <si>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</si>
  <si>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</si>
  <si>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</si>
  <si>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</si>
  <si>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</si>
  <si>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</si>
  <si>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</si>
  <si>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</si>
  <si>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</si>
  <si>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</si>
  <si>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</si>
  <si>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</si>
  <si>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</si>
  <si>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</si>
  <si>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</si>
  <si>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</si>
  <si>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</si>
  <si>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</si>
  <si>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</si>
  <si>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</si>
  <si>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</si>
  <si>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</si>
  <si>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</si>
  <si>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</si>
  <si>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</si>
  <si>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</si>
  <si>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</si>
  <si>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</si>
  <si>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</si>
  <si>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</si>
  <si>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</si>
  <si>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</si>
  <si>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</si>
  <si>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</si>
  <si>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</si>
  <si>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</si>
  <si>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</si>
  <si>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</si>
  <si>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</si>
  <si>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</si>
  <si>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</si>
  <si>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</si>
  <si>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</si>
  <si>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</si>
  <si>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</si>
  <si>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</si>
  <si>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</si>
  <si>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</si>
  <si>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</si>
  <si>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</si>
  <si>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</si>
  <si>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</si>
  <si>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</si>
  <si>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</si>
  <si>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</si>
  <si>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</si>
  <si>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</si>
  <si>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</si>
  <si>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</si>
  <si>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</si>
  <si>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</si>
  <si>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</si>
  <si>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</si>
  <si>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</si>
  <si>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</si>
  <si>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</si>
  <si>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</si>
  <si>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</si>
  <si>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</si>
  <si>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</si>
  <si>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</si>
  <si>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</si>
  <si>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</si>
  <si>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</si>
  <si>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</si>
  <si>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</si>
  <si>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</si>
  <si>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</si>
  <si>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</si>
  <si>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</si>
  <si>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</si>
  <si>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</si>
  <si>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</si>
  <si>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</si>
  <si>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</si>
  <si>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</si>
  <si>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</si>
  <si>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</si>
  <si>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</si>
  <si>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</si>
  <si>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</si>
  <si>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</si>
  <si>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</si>
  <si>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</si>
  <si>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</si>
  <si>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</si>
  <si>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</si>
  <si>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</si>
  <si>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</si>
  <si>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</si>
  <si>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</si>
  <si>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</si>
  <si>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</si>
  <si>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</si>
  <si>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</si>
  <si>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</si>
  <si>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</si>
  <si>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</si>
  <si>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</si>
  <si>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</si>
  <si>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</si>
  <si>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</si>
  <si>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</si>
  <si>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</si>
  <si>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</si>
  <si>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</si>
  <si>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</si>
  <si>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</si>
  <si>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</si>
  <si>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</si>
  <si>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</si>
  <si>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</si>
  <si>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</si>
  <si>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</si>
  <si>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</si>
  <si>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</si>
  <si>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</si>
  <si>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</si>
  <si>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</si>
  <si>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</si>
  <si>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</si>
  <si>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</si>
  <si>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</si>
  <si>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</si>
  <si>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</si>
  <si>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</si>
  <si>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</si>
  <si>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</si>
  <si>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</si>
  <si>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</si>
  <si>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</si>
  <si>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</si>
  <si>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</si>
  <si>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</si>
  <si>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</si>
  <si>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</si>
  <si>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</si>
  <si>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</si>
  <si>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</si>
  <si>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</si>
  <si>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</si>
  <si>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</si>
  <si>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</si>
  <si>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</si>
  <si>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</si>
  <si>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</si>
  <si>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</si>
  <si>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</si>
  <si>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</si>
  <si>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</si>
  <si>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</si>
  <si>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</si>
  <si>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</si>
  <si>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</si>
  <si>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</si>
  <si>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</si>
  <si>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</si>
  <si>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</si>
  <si>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</si>
  <si>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</si>
  <si>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</si>
  <si>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</si>
  <si>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</si>
  <si>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</si>
  <si>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</si>
  <si>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</si>
  <si>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</si>
  <si>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</si>
  <si>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</si>
  <si>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</si>
  <si>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</si>
  <si>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</si>
  <si>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</si>
  <si>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</si>
  <si>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</si>
  <si>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</si>
  <si>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</si>
  <si>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</si>
  <si>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</si>
  <si>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</si>
  <si>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</si>
  <si>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</si>
  <si>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</si>
  <si>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</si>
  <si>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</si>
  <si>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</si>
  <si>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</si>
  <si>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</si>
  <si>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</si>
  <si>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</si>
  <si>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</si>
  <si>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</si>
  <si>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</si>
  <si>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</si>
  <si>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</si>
  <si>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</si>
  <si>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</si>
  <si>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</si>
  <si>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</si>
  <si>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</si>
  <si>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</si>
  <si>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</si>
  <si>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</si>
  <si>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</si>
  <si>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</si>
  <si>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</si>
  <si>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</si>
  <si>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</si>
  <si>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</si>
  <si>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</si>
  <si>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</si>
  <si>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</si>
  <si>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</si>
  <si>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</si>
  <si>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</si>
  <si>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</si>
  <si>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</si>
  <si>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</si>
  <si>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</si>
  <si>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</si>
  <si>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</si>
  <si>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</si>
  <si>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</si>
  <si>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</si>
  <si>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</si>
  <si>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</si>
  <si>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</si>
  <si>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</si>
  <si>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</si>
  <si>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</si>
  <si>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</si>
  <si>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</si>
  <si>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</si>
  <si>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</si>
  <si>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</si>
  <si>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</si>
  <si>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</si>
  <si>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</si>
  <si>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</si>
  <si>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</si>
  <si>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</si>
  <si>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</si>
  <si>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</si>
  <si>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</si>
  <si>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</si>
  <si>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</si>
  <si>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</si>
  <si>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</si>
  <si>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</si>
  <si>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</si>
  <si>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</si>
  <si>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</si>
  <si>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</si>
  <si>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</si>
  <si>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</si>
  <si>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</si>
  <si>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</si>
  <si>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</si>
  <si>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</si>
  <si>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</si>
  <si>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</si>
  <si>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</si>
  <si>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</si>
  <si>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</si>
  <si>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</si>
  <si>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</si>
  <si>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</si>
  <si>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</si>
  <si>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</si>
  <si>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</si>
  <si>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</si>
  <si>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</si>
  <si>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</si>
  <si>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</si>
  <si>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</si>
  <si>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</si>
  <si>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</si>
  <si>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</si>
  <si>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</si>
  <si>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</si>
  <si>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</si>
  <si>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</si>
  <si>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</si>
  <si>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</si>
  <si>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</si>
  <si>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</si>
  <si>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</si>
  <si>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</si>
  <si>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</si>
  <si>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</si>
  <si>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</si>
  <si>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</si>
  <si>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</si>
  <si>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</si>
  <si>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</si>
  <si>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</si>
  <si>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</si>
  <si>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</si>
  <si>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</si>
  <si>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</si>
  <si>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</si>
  <si>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</si>
  <si>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</si>
  <si>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</si>
  <si>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</si>
  <si>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</si>
  <si>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</si>
  <si>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</si>
  <si>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</si>
  <si>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</si>
  <si>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</si>
  <si>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</si>
  <si>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</si>
  <si>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</si>
  <si>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</si>
  <si>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</si>
  <si>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</si>
  <si>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</si>
  <si>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</si>
  <si>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</si>
  <si>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</si>
  <si>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</si>
  <si>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</si>
  <si>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</si>
  <si>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</si>
  <si>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</si>
  <si>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</si>
  <si>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</si>
  <si>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</si>
  <si>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</si>
  <si>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</si>
  <si>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</si>
  <si>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</si>
  <si>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</si>
  <si>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</si>
  <si>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</si>
  <si>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</si>
  <si>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</si>
  <si>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</si>
  <si>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</si>
  <si>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</si>
  <si>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</si>
  <si>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</si>
  <si>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</si>
  <si>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</si>
  <si>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</si>
  <si>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</si>
  <si>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</si>
  <si>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</si>
  <si>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</si>
  <si>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</si>
  <si>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</si>
  <si>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</si>
  <si>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</si>
  <si>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</si>
  <si>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</si>
  <si>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</si>
  <si>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</si>
  <si>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</si>
  <si>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</si>
  <si>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</si>
  <si>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</si>
  <si>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</si>
  <si>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</si>
  <si>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</si>
  <si>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</si>
  <si>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</si>
  <si>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</si>
  <si>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</si>
  <si>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</si>
  <si>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</si>
  <si>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</si>
  <si>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</si>
  <si>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</si>
  <si>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</si>
  <si>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</si>
  <si>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</si>
  <si>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</si>
  <si>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</si>
  <si>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</si>
  <si>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</si>
  <si>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</si>
  <si>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</si>
  <si>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</si>
  <si>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</si>
  <si>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</si>
  <si>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</si>
  <si>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</si>
  <si>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</si>
  <si>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</si>
  <si>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</si>
  <si>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</si>
  <si>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</si>
  <si>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</si>
  <si>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</si>
  <si>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</si>
  <si>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</si>
  <si>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</si>
  <si>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</si>
  <si>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</si>
  <si>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</si>
  <si>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</si>
  <si>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</si>
  <si>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</si>
  <si>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</si>
  <si>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</si>
  <si>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</si>
  <si>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</si>
  <si>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</si>
  <si>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</si>
  <si>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</si>
  <si>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</si>
  <si>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</si>
  <si>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</si>
  <si>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</si>
  <si>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</si>
  <si>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</si>
  <si>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</si>
  <si>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</si>
  <si>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</si>
  <si>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</si>
  <si>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</si>
  <si>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</si>
  <si>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</si>
  <si>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</si>
  <si>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</si>
  <si>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</si>
  <si>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</si>
  <si>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</si>
  <si>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</si>
  <si>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</si>
  <si>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</si>
  <si>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</si>
  <si>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</si>
  <si>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</si>
  <si>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</si>
  <si>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</si>
  <si>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</si>
  <si>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</si>
  <si>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</si>
  <si>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</si>
  <si>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</si>
  <si>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</si>
  <si>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</si>
  <si>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</si>
  <si>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</si>
  <si>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</si>
  <si>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</si>
  <si>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</si>
  <si>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</si>
  <si>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</si>
  <si>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</si>
  <si>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</si>
  <si>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</si>
  <si>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</si>
  <si>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</si>
  <si>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</si>
  <si>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</si>
  <si>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</si>
  <si>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</si>
  <si>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</si>
  <si>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</si>
  <si>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</si>
  <si>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</si>
  <si>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</si>
  <si>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</si>
  <si>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</si>
  <si>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</si>
  <si>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</si>
  <si>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</si>
  <si>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</si>
  <si>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</si>
  <si>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</si>
  <si>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</si>
  <si>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</si>
  <si>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</si>
  <si>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</si>
  <si>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</si>
  <si>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</si>
  <si>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</si>
  <si>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</si>
  <si>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</si>
  <si>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</si>
  <si>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</si>
  <si>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</si>
  <si>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</si>
  <si>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</si>
  <si>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</si>
  <si>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</si>
  <si>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</si>
  <si>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</si>
  <si>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</si>
  <si>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</si>
  <si>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</si>
  <si>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</si>
  <si>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</si>
  <si>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</si>
  <si>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</si>
  <si>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</si>
  <si>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</si>
  <si>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</si>
  <si>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</si>
  <si>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</si>
  <si>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</si>
  <si>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</si>
  <si>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</si>
  <si>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</si>
  <si>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</si>
  <si>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</si>
  <si>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</si>
  <si>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</si>
  <si>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</si>
  <si>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</si>
  <si>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</si>
  <si>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</si>
  <si>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</si>
  <si>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</si>
  <si>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</si>
  <si>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</si>
  <si>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</si>
  <si>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</si>
  <si>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</si>
  <si>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</si>
  <si>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</si>
  <si>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</si>
  <si>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</si>
  <si>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</si>
  <si>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</si>
  <si>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</si>
  <si>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</si>
  <si>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</si>
  <si>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</si>
  <si>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</si>
  <si>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</si>
  <si>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</si>
  <si>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</si>
  <si>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</si>
  <si>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</si>
  <si>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</si>
  <si>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</si>
  <si>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</si>
  <si>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</si>
  <si>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</si>
  <si>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</si>
  <si>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</si>
  <si>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</si>
  <si>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</si>
  <si>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</si>
  <si>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</si>
  <si>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</si>
  <si>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</si>
  <si>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</si>
  <si>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</si>
  <si>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</si>
  <si>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</si>
  <si>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</si>
  <si>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</si>
  <si>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</si>
  <si>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</si>
  <si>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</si>
  <si>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</si>
  <si>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</si>
  <si>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</si>
  <si>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</si>
  <si>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</si>
  <si>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</si>
  <si>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</si>
  <si>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</si>
  <si>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</si>
  <si>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</si>
  <si>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</si>
  <si>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</si>
  <si>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</si>
  <si>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</si>
  <si>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</si>
  <si>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</si>
  <si>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</si>
  <si>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</si>
  <si>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</si>
  <si>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</si>
  <si>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</si>
  <si>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</si>
  <si>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</si>
  <si>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</si>
  <si>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</si>
  <si>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</si>
  <si>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</si>
  <si>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</si>
  <si>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</si>
  <si>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</si>
  <si>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</si>
  <si>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</si>
  <si>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</si>
  <si>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</si>
  <si>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</si>
  <si>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</si>
  <si>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</si>
  <si>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</si>
  <si>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</si>
  <si>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</si>
  <si>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</si>
  <si>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</si>
  <si>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</si>
  <si>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</si>
  <si>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</si>
  <si>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</si>
  <si>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</si>
  <si>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</si>
  <si>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</si>
  <si>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</si>
  <si>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</si>
  <si>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</si>
  <si>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</si>
  <si>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</si>
  <si>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</si>
  <si>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</si>
  <si>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</si>
  <si>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</si>
  <si>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</si>
  <si>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</si>
  <si>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</si>
  <si>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</si>
  <si>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</si>
  <si>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</si>
  <si>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</si>
  <si>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</si>
  <si>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</si>
  <si>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</si>
  <si>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</si>
  <si>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</si>
  <si>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</si>
  <si>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</si>
  <si>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</si>
  <si>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</si>
  <si>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</si>
  <si>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</si>
  <si>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</si>
  <si>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</si>
  <si>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</si>
  <si>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</si>
  <si>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</si>
  <si>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</si>
  <si>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</si>
  <si>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</si>
  <si>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</si>
  <si>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</si>
  <si>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</si>
  <si>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</si>
  <si>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</si>
  <si>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</si>
  <si>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</si>
  <si>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</si>
  <si>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</si>
  <si>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</si>
  <si>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</si>
  <si>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</si>
  <si>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</si>
  <si>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</si>
  <si>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</si>
  <si>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</si>
  <si>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</si>
  <si>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</si>
  <si>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</si>
  <si>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</si>
  <si>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</si>
  <si>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</si>
  <si>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</si>
  <si>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</si>
  <si>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</si>
  <si>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</si>
  <si>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</si>
  <si>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</si>
  <si>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</si>
  <si>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</si>
  <si>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</si>
  <si>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</si>
  <si>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</si>
  <si>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</si>
  <si>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</si>
  <si>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</si>
  <si>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</si>
  <si>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</si>
  <si>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</si>
  <si>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</si>
  <si>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</si>
  <si>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</si>
  <si>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</si>
  <si>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</si>
  <si>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</si>
  <si>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</si>
  <si>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</si>
  <si>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</si>
  <si>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</si>
  <si>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</si>
  <si>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</si>
  <si>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</si>
  <si>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</si>
  <si>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</si>
  <si>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</si>
  <si>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</si>
  <si>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</si>
  <si>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</si>
  <si>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</si>
  <si>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</si>
  <si>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</si>
  <si>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</si>
  <si>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</si>
  <si>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</si>
  <si>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</si>
  <si>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</si>
  <si>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</si>
  <si>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</si>
  <si>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</si>
  <si>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</si>
  <si>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</si>
  <si>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</si>
  <si>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</si>
  <si>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</si>
  <si>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</si>
  <si>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</si>
  <si>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</si>
  <si>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</si>
  <si>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</si>
  <si>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</si>
  <si>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</si>
  <si>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</si>
  <si>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</si>
  <si>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</si>
  <si>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</si>
  <si>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</si>
  <si>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</si>
  <si>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</si>
  <si>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</si>
  <si>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</si>
  <si>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</si>
  <si>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</si>
  <si>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</si>
  <si>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</si>
  <si>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</si>
  <si>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</si>
  <si>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</si>
  <si>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</si>
  <si>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</si>
  <si>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</si>
  <si>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</si>
  <si>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</si>
  <si>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</si>
  <si>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</si>
  <si>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</si>
  <si>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</si>
  <si>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</si>
  <si>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</si>
  <si>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</si>
  <si>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</si>
  <si>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</si>
  <si>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</si>
  <si>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</si>
  <si>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</si>
  <si>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</si>
  <si>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</si>
  <si>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</si>
  <si>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</si>
  <si>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</si>
  <si>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</si>
  <si>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</si>
  <si>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</si>
  <si>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</si>
  <si>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</si>
  <si>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</si>
  <si>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</si>
  <si>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</si>
  <si>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</si>
  <si>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</si>
  <si>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</si>
  <si>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</si>
  <si>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</si>
  <si>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</si>
  <si>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</si>
  <si>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</si>
  <si>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</si>
  <si>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</si>
  <si>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</si>
  <si>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</si>
  <si>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</si>
  <si>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</si>
  <si>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</si>
  <si>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</si>
  <si>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</si>
  <si>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</si>
  <si>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</si>
  <si>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</si>
  <si>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</si>
  <si>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</si>
  <si>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</si>
  <si>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</si>
  <si>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</si>
  <si>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</si>
  <si>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</si>
  <si>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</si>
  <si>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</si>
  <si>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</si>
  <si>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</si>
  <si>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</si>
  <si>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</si>
  <si>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</si>
  <si>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</si>
  <si>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</si>
  <si>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</si>
  <si>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</si>
  <si>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</si>
  <si>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</si>
  <si>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</si>
  <si>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</si>
  <si>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</si>
  <si>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</si>
  <si>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</si>
  <si>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</si>
  <si>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</si>
  <si>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</si>
  <si>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</si>
  <si>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</si>
  <si>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</si>
  <si>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</si>
  <si>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</si>
  <si>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</si>
  <si>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</si>
  <si>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</si>
  <si>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</si>
  <si>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</si>
  <si>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</si>
  <si>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</si>
  <si>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</si>
  <si>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</si>
  <si>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</si>
  <si>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</si>
  <si>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</si>
  <si>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</si>
  <si>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</si>
  <si>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</si>
  <si>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</si>
  <si>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</si>
  <si>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</si>
  <si>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</si>
  <si>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</si>
  <si>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</si>
  <si>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</si>
  <si>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</si>
  <si>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</si>
  <si>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</si>
  <si>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</si>
  <si>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</si>
  <si>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</si>
  <si>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</si>
  <si>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</si>
  <si>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</si>
  <si>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</si>
  <si>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</si>
  <si>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</si>
  <si>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</si>
  <si>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</si>
  <si>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</si>
  <si>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</si>
  <si>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</si>
  <si>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</si>
  <si>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</si>
  <si>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</si>
  <si>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</si>
  <si>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</si>
  <si>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</si>
  <si>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</si>
  <si>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</si>
  <si>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</si>
  <si>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</si>
  <si>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</si>
  <si>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</si>
  <si>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</si>
  <si>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</si>
  <si>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</si>
  <si>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</si>
  <si>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</si>
  <si>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</si>
  <si>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</si>
  <si>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</si>
  <si>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</si>
  <si>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</si>
  <si>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</si>
  <si>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</si>
  <si>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</si>
  <si>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</si>
  <si>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</si>
  <si>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</si>
  <si>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</si>
  <si>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</si>
  <si>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</si>
  <si>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</si>
  <si>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</si>
  <si>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</si>
  <si>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</si>
  <si>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</si>
  <si>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</si>
  <si>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</si>
  <si>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</si>
  <si>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</si>
  <si>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</si>
  <si>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</si>
  <si>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</si>
  <si>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</si>
  <si>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</si>
  <si>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</si>
  <si>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</si>
  <si>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</si>
  <si>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</si>
  <si>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</si>
  <si>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</si>
  <si>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</si>
  <si>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</si>
  <si>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</si>
  <si>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</si>
  <si>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</si>
  <si>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</si>
  <si>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</si>
  <si>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</si>
  <si>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</si>
  <si>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</si>
  <si>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</si>
  <si>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</si>
  <si>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</si>
  <si>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</si>
  <si>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</si>
  <si>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</si>
  <si>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</si>
  <si>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</si>
  <si>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</si>
  <si>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</si>
  <si>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</si>
  <si>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</si>
  <si>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</si>
  <si>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</si>
  <si>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</si>
  <si>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</si>
  <si>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</si>
  <si>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</si>
  <si>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</si>
  <si>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</si>
  <si>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</si>
  <si>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</si>
  <si>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</si>
  <si>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</si>
  <si>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</si>
  <si>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</si>
  <si>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</si>
  <si>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</si>
  <si>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</si>
  <si>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</si>
  <si>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</si>
  <si>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</si>
  <si>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</si>
  <si>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</si>
  <si>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</si>
  <si>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</si>
  <si>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</si>
  <si>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</si>
  <si>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</si>
  <si>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</si>
  <si>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</si>
  <si>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</si>
  <si>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</si>
  <si>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</si>
  <si>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</si>
  <si>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</si>
  <si>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</si>
  <si>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</si>
  <si>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</si>
  <si>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</si>
  <si>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</si>
  <si>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</si>
  <si>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</si>
  <si>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</si>
  <si>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</si>
  <si>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</si>
  <si>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</si>
  <si>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</si>
  <si>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</si>
  <si>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</si>
  <si>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</si>
  <si>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</si>
  <si>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</si>
  <si>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</si>
  <si>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</si>
  <si>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</si>
  <si>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</si>
  <si>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</si>
  <si>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</si>
  <si>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</si>
  <si>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</si>
  <si>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</si>
  <si>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</si>
  <si>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</si>
  <si>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</si>
  <si>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</si>
  <si>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</si>
  <si>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</si>
  <si>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</si>
  <si>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</si>
  <si>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</si>
  <si>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</si>
  <si>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</si>
  <si>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</si>
  <si>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</si>
  <si>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</si>
  <si>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</si>
  <si>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</si>
  <si>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</si>
  <si>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</si>
  <si>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</si>
  <si>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</si>
  <si>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</si>
  <si>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</si>
  <si>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</si>
  <si>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</si>
  <si>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</si>
  <si>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</si>
  <si>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</si>
  <si>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</si>
  <si>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</si>
  <si>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</si>
  <si>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</si>
  <si>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</si>
  <si>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</si>
  <si>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</si>
  <si>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</si>
  <si>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</si>
  <si>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</si>
  <si>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</si>
  <si>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</si>
  <si>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</si>
  <si>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</si>
  <si>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</si>
  <si>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</si>
  <si>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</si>
  <si>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</si>
  <si>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</si>
  <si>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</si>
  <si>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</si>
  <si>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</si>
  <si>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</si>
  <si>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</si>
  <si>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</si>
  <si>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</si>
  <si>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</si>
  <si>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</si>
  <si>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</si>
  <si>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</si>
  <si>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</si>
  <si>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</si>
  <si>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</si>
  <si>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</si>
  <si>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</si>
  <si>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</si>
  <si>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</si>
  <si>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</si>
  <si>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</si>
  <si>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</si>
  <si>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</si>
  <si>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</si>
  <si>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</si>
  <si>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</si>
  <si>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</si>
  <si>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</si>
  <si>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</si>
  <si>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</si>
  <si>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</si>
  <si>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</si>
  <si>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</si>
  <si>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</si>
  <si>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</si>
  <si>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</si>
  <si>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</si>
  <si>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</si>
  <si>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</si>
  <si>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</si>
  <si>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</si>
  <si>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</si>
  <si>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</si>
  <si>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</si>
  <si>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</si>
  <si>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</si>
  <si>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</si>
  <si>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</si>
  <si>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</si>
  <si>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</si>
  <si>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</si>
  <si>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</si>
  <si>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</si>
  <si>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</si>
  <si>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</si>
  <si>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</si>
  <si>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</si>
  <si>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</si>
  <si>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</si>
  <si>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</si>
  <si>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</si>
  <si>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</si>
  <si>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</si>
  <si>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</si>
  <si>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</si>
  <si>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</si>
  <si>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</si>
  <si>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</si>
  <si>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</si>
  <si>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</si>
  <si>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</si>
  <si>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</si>
  <si>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</si>
  <si>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</si>
  <si>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</si>
  <si>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</si>
  <si>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</si>
  <si>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</si>
  <si>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</si>
  <si>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</si>
  <si>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</si>
  <si>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</si>
  <si>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</si>
  <si>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</si>
  <si>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</si>
  <si>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</si>
  <si>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</si>
  <si>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</si>
  <si>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</si>
  <si>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</si>
  <si>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</si>
  <si>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</si>
  <si>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</si>
  <si>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</si>
  <si>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</si>
  <si>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</si>
  <si>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</si>
  <si>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</si>
  <si>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</si>
  <si>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</si>
  <si>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</si>
  <si>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</si>
  <si>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</si>
  <si>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</si>
  <si>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</si>
  <si>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</si>
  <si>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</si>
  <si>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</si>
  <si>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</si>
  <si>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</si>
  <si>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</si>
  <si>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</si>
  <si>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</si>
  <si>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</si>
  <si>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</si>
  <si>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</si>
  <si>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</si>
  <si>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</si>
  <si>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</si>
  <si>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</si>
  <si>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</si>
  <si>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</si>
  <si>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</si>
  <si>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</si>
  <si>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</si>
  <si>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</si>
  <si>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</si>
  <si>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</si>
  <si>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</si>
  <si>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</si>
  <si>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</si>
  <si>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</si>
  <si>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</si>
  <si>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</si>
  <si>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</si>
  <si>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</si>
  <si>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</si>
  <si>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</si>
  <si>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</si>
  <si>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</si>
  <si>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</si>
  <si>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</si>
  <si>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</si>
  <si>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</si>
  <si>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</si>
  <si>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</si>
  <si>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</si>
  <si>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</si>
  <si>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</si>
  <si>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</si>
  <si>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</si>
  <si>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</si>
  <si>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</si>
  <si>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</si>
  <si>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</si>
  <si>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</si>
  <si>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</si>
  <si>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</si>
  <si>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</si>
  <si>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</si>
  <si>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</si>
  <si>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</si>
  <si>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</si>
  <si>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</si>
  <si>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</si>
  <si>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</si>
  <si>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</si>
  <si>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</si>
  <si>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</si>
  <si>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</si>
  <si>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</si>
  <si>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</si>
  <si>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</si>
  <si>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</si>
  <si>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</si>
  <si>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</si>
  <si>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</si>
  <si>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</si>
  <si>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</si>
  <si>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</si>
  <si>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</si>
  <si>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</si>
  <si>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</si>
  <si>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</si>
  <si>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</si>
  <si>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</si>
  <si>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</si>
  <si>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</si>
  <si>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</si>
  <si>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</si>
  <si>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</si>
  <si>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</si>
  <si>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</si>
  <si>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</si>
  <si>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</si>
  <si>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</si>
  <si>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</si>
  <si>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</si>
  <si>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</si>
  <si>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</si>
  <si>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</si>
  <si>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</si>
  <si>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</si>
  <si>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</si>
  <si>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</si>
  <si>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</si>
  <si>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</si>
  <si>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</si>
  <si>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</si>
  <si>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</si>
  <si>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</si>
  <si>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</si>
  <si>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</si>
  <si>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</si>
  <si>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</si>
  <si>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</si>
  <si>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</si>
  <si>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</si>
  <si>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</si>
  <si>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</si>
  <si>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</si>
  <si>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</si>
  <si>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</si>
  <si>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</si>
  <si>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</si>
  <si>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</si>
  <si>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</si>
  <si>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</si>
  <si>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</si>
  <si>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</si>
  <si>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</si>
  <si>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</si>
  <si>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</si>
  <si>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</si>
  <si>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</si>
  <si>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</si>
  <si>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</si>
  <si>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</si>
  <si>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</si>
  <si>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</si>
  <si>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</si>
  <si>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</si>
  <si>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</si>
  <si>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</si>
  <si>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</si>
  <si>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</si>
  <si>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</si>
  <si>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</si>
  <si>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</si>
  <si>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</si>
  <si>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</si>
  <si>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</si>
  <si>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</si>
  <si>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</si>
  <si>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</si>
  <si>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</si>
  <si>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</si>
  <si>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</si>
  <si>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</si>
  <si>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</si>
  <si>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</si>
  <si>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</si>
  <si>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</si>
  <si>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</si>
  <si>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</si>
  <si>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</si>
  <si>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</si>
  <si>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</si>
  <si>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</si>
  <si>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</si>
  <si>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</si>
  <si>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</si>
  <si>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</si>
  <si>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</si>
  <si>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</si>
  <si>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</si>
  <si>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</si>
  <si>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</si>
  <si>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</si>
  <si>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</si>
  <si>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</si>
  <si>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</si>
  <si>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</si>
  <si>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</si>
  <si>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</si>
  <si>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</si>
  <si>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</si>
  <si>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</si>
  <si>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</si>
  <si>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</si>
  <si>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</si>
  <si>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</si>
  <si>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</si>
  <si>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</si>
  <si>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</si>
  <si>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</si>
  <si>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</si>
  <si>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</si>
  <si>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</si>
  <si>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</si>
  <si>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</si>
  <si>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</si>
  <si>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</si>
  <si>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</si>
  <si>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</si>
  <si>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</si>
  <si>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</si>
  <si>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</si>
  <si>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</si>
  <si>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</si>
  <si>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</si>
  <si>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</si>
  <si>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</si>
  <si>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</si>
  <si>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</si>
  <si>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</si>
  <si>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</si>
  <si>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</si>
  <si>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</si>
  <si>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</si>
  <si>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</si>
  <si>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</si>
  <si>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</si>
  <si>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</si>
  <si>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</si>
  <si>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</si>
  <si>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</si>
  <si>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</si>
  <si>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</si>
  <si>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</si>
  <si>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</si>
  <si>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</si>
  <si>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</si>
  <si>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</si>
  <si>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</si>
  <si>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</si>
  <si>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</si>
  <si>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</si>
  <si>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</si>
  <si>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</si>
  <si>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</si>
  <si>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</si>
  <si>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</si>
  <si>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</si>
  <si>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</si>
  <si>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</si>
  <si>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</si>
  <si>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</si>
  <si>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</si>
  <si>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</si>
  <si>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</si>
  <si>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</si>
  <si>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</si>
  <si>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</si>
  <si>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</si>
  <si>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</si>
  <si>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</si>
  <si>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</si>
  <si>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</si>
  <si>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</si>
  <si>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</si>
  <si>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</si>
  <si>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</si>
  <si>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</si>
  <si>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</si>
  <si>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</si>
  <si>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</si>
  <si>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</si>
  <si>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</si>
  <si>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</si>
  <si>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</si>
  <si>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</si>
  <si>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</si>
  <si>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</si>
  <si>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</si>
  <si>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</si>
  <si>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</si>
  <si>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</si>
  <si>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</si>
  <si>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</si>
  <si>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</si>
  <si>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</si>
  <si>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</si>
  <si>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</si>
  <si>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</si>
  <si>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</si>
  <si>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</si>
  <si>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</si>
  <si>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</si>
  <si>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</si>
  <si>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</si>
  <si>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</si>
  <si>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</si>
  <si>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</si>
  <si>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</si>
  <si>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</si>
  <si>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</si>
  <si>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</si>
  <si>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</si>
  <si>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</si>
  <si>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</si>
  <si>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</si>
  <si>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</si>
  <si>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</si>
  <si>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</si>
  <si>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</si>
  <si>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</si>
  <si>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</si>
  <si>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</si>
  <si>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</si>
  <si>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</si>
  <si>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</si>
  <si>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</si>
  <si>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</si>
  <si>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</si>
  <si>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</si>
  <si>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</si>
  <si>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</si>
  <si>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</si>
  <si>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</si>
  <si>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</si>
  <si>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</si>
  <si>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</si>
  <si>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</si>
  <si>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</si>
  <si>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</si>
  <si>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</si>
  <si>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</si>
  <si>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</si>
  <si>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</si>
  <si>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</si>
  <si>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</si>
  <si>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</si>
  <si>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</si>
  <si>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</si>
  <si>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</si>
  <si>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</si>
  <si>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</si>
  <si>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</si>
  <si>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</si>
  <si>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</si>
  <si>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</si>
  <si>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</si>
  <si>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</si>
  <si>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</si>
  <si>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</si>
  <si>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</si>
  <si>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</si>
  <si>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</si>
  <si>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</si>
  <si>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</si>
  <si>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</si>
  <si>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</si>
  <si>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</si>
  <si>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</si>
  <si>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</si>
  <si>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</si>
  <si>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</si>
  <si>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</si>
  <si>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</si>
  <si>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</si>
  <si>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</si>
  <si>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</si>
  <si>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</si>
  <si>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</si>
  <si>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</si>
  <si>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</si>
  <si>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</si>
  <si>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</si>
  <si>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</si>
  <si>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</si>
  <si>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</si>
  <si>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</si>
  <si>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</si>
  <si>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</si>
  <si>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</si>
  <si>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</si>
  <si>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</si>
  <si>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</si>
  <si>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</si>
  <si>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</si>
  <si>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</si>
  <si>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</si>
  <si>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</si>
  <si>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</si>
  <si>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</si>
  <si>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</si>
  <si>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</si>
  <si>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</si>
  <si>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</si>
  <si>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</si>
  <si>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</si>
  <si>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</si>
  <si>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</si>
  <si>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</si>
  <si>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</si>
  <si>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</si>
  <si>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</si>
  <si>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</si>
  <si>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</si>
  <si>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</si>
  <si>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</si>
  <si>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</si>
  <si>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</si>
  <si>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</si>
  <si>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</si>
  <si>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</si>
  <si>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</si>
  <si>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</si>
  <si>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</si>
  <si>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</si>
  <si>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</si>
  <si>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</si>
  <si>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</si>
  <si>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</si>
  <si>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</si>
  <si>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</si>
  <si>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</si>
  <si>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</si>
  <si>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</si>
  <si>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</si>
  <si>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</si>
  <si>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</si>
  <si>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</si>
  <si>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</si>
  <si>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</si>
  <si>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</si>
  <si>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</si>
  <si>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</si>
  <si>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</si>
  <si>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</si>
  <si>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</si>
  <si>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</si>
  <si>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</si>
  <si>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</si>
  <si>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</si>
  <si>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</si>
  <si>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</si>
  <si>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</si>
  <si>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</si>
  <si>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</si>
  <si>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</si>
  <si>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</si>
  <si>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</si>
  <si>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</si>
  <si>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</si>
  <si>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</si>
  <si>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</si>
  <si>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</si>
  <si>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</si>
  <si>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</si>
  <si>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</si>
  <si>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</si>
  <si>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</si>
  <si>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</si>
  <si>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</si>
  <si>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</si>
  <si>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</si>
  <si>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</si>
  <si>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</si>
  <si>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</si>
  <si>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</si>
  <si>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</si>
  <si>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</si>
  <si>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</si>
  <si>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</si>
  <si>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</si>
  <si>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</si>
  <si>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</si>
  <si>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</si>
  <si>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</si>
  <si>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</si>
  <si>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</si>
  <si>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</si>
  <si>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</si>
  <si>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</si>
  <si>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</si>
  <si>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</si>
  <si>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</si>
  <si>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</si>
  <si>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</si>
  <si>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</si>
  <si>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</si>
  <si>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</si>
  <si>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</si>
  <si>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</si>
  <si>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</si>
  <si>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</si>
  <si>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</si>
  <si>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</si>
  <si>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</si>
  <si>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</si>
  <si>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</si>
  <si>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</si>
  <si>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</si>
  <si>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</si>
  <si>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</si>
  <si>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</si>
  <si>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</si>
  <si>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</si>
  <si>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</si>
  <si>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</si>
  <si>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</si>
  <si>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</si>
  <si>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</si>
  <si>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</si>
  <si>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</si>
  <si>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</si>
  <si>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</si>
  <si>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</si>
  <si>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</si>
  <si>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</si>
  <si>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</si>
  <si>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</si>
  <si>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</si>
  <si>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</si>
  <si>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</si>
  <si>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</si>
  <si>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</si>
  <si>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</si>
  <si>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</si>
  <si>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</si>
  <si>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</si>
  <si>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</si>
  <si>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</si>
  <si>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</si>
  <si>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</si>
  <si>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</si>
  <si>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</si>
  <si>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</si>
  <si>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</si>
  <si>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</si>
  <si>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</si>
  <si>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</si>
  <si>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</si>
  <si>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</si>
  <si>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</si>
  <si>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</si>
  <si>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</si>
  <si>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</si>
  <si>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</si>
  <si>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</si>
  <si>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</si>
  <si>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</si>
  <si>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</si>
  <si>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</si>
  <si>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</si>
  <si>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</si>
  <si>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</si>
  <si>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</si>
  <si>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</si>
  <si>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</si>
  <si>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</si>
  <si>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</si>
  <si>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</si>
  <si>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</si>
  <si>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</si>
  <si>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</si>
  <si>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</si>
  <si>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</si>
  <si>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</si>
  <si>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</si>
  <si>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</si>
  <si>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</si>
  <si>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</si>
  <si>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</si>
  <si>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</si>
  <si>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</si>
  <si>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</si>
  <si>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</si>
  <si>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</si>
  <si>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</si>
  <si>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</si>
  <si>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</si>
  <si>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</si>
  <si>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</si>
  <si>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</si>
  <si>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</si>
  <si>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</si>
  <si>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</si>
  <si>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</si>
  <si>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</si>
  <si>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</si>
  <si>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</si>
  <si>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</si>
  <si>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</si>
  <si>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</si>
  <si>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</si>
  <si>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</si>
  <si>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</si>
  <si>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</si>
  <si>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</si>
  <si>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</si>
  <si>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</si>
  <si>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</si>
  <si>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</si>
  <si>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</si>
  <si>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</si>
  <si>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</si>
  <si>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</si>
  <si>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</si>
  <si>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</si>
  <si>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</si>
  <si>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</si>
  <si>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</si>
  <si>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</si>
  <si>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</si>
  <si>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</si>
  <si>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</si>
  <si>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</si>
  <si>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</si>
  <si>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</si>
  <si>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</si>
  <si>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</si>
  <si>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</si>
  <si>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</si>
  <si>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</si>
  <si>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</si>
  <si>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</si>
  <si>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</si>
  <si>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</si>
  <si>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</si>
  <si>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</si>
  <si>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</si>
  <si>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</si>
  <si>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</si>
  <si>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</si>
  <si>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</si>
  <si>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</si>
  <si>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</si>
  <si>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</si>
  <si>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</si>
  <si>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</si>
  <si>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</si>
  <si>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</si>
  <si>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</si>
  <si>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</si>
  <si>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</si>
  <si>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</si>
  <si>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</si>
  <si>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</si>
  <si>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</si>
  <si>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</si>
  <si>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</si>
  <si>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</si>
  <si>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</si>
  <si>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</si>
  <si>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</si>
  <si>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</si>
  <si>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</si>
  <si>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</si>
  <si>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</si>
  <si>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</si>
  <si>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</si>
  <si>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</si>
  <si>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</si>
  <si>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</si>
  <si>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</si>
  <si>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</si>
  <si>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</si>
  <si>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</si>
  <si>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</si>
  <si>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</si>
  <si>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</si>
  <si>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</si>
  <si>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</si>
  <si>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</si>
  <si>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</si>
  <si>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</si>
  <si>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</si>
  <si>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</si>
  <si>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</si>
  <si>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</si>
  <si>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</si>
  <si>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</si>
  <si>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</si>
  <si>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</si>
  <si>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</si>
  <si>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</si>
  <si>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</si>
  <si>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</si>
  <si>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</si>
  <si>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</si>
  <si>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</si>
  <si>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</si>
  <si>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</si>
  <si>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</si>
  <si>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</si>
  <si>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</si>
  <si>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</si>
  <si>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</si>
  <si>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</si>
  <si>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</si>
  <si>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</si>
  <si>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</si>
  <si>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</si>
  <si>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</si>
  <si>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</si>
  <si>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</si>
  <si>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</si>
  <si>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</si>
  <si>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</si>
  <si>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</si>
  <si>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</si>
  <si>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</si>
  <si>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</si>
  <si>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</si>
  <si>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</si>
  <si>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</si>
  <si>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</si>
  <si>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</si>
  <si>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</si>
  <si>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</si>
  <si>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</si>
  <si>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</si>
  <si>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</si>
  <si>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</si>
  <si>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</si>
  <si>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</si>
  <si>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</si>
  <si>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</si>
  <si>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</si>
  <si>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</si>
  <si>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</si>
  <si>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</si>
  <si>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</si>
  <si>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</si>
  <si>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</si>
  <si>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</si>
  <si>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</si>
  <si>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</si>
  <si>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</si>
  <si>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</si>
  <si>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</si>
  <si>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</si>
  <si>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</si>
  <si>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</si>
  <si>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</si>
  <si>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</si>
  <si>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</si>
  <si>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</si>
  <si>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</si>
  <si>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</si>
  <si>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</si>
  <si>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</si>
  <si>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</si>
  <si>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</si>
  <si>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</si>
  <si>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</si>
  <si>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</si>
  <si>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</si>
  <si>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</si>
  <si>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</si>
  <si>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</si>
  <si>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</si>
  <si>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</si>
  <si>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</si>
  <si>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</si>
  <si>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</si>
  <si>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</si>
  <si>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</si>
  <si>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</si>
  <si>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</si>
  <si>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</si>
  <si>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</si>
  <si>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</si>
  <si>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</si>
  <si>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</si>
  <si>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</si>
  <si>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</si>
  <si>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</si>
  <si>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</si>
  <si>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</si>
  <si>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</si>
  <si>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</si>
  <si>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</si>
  <si>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</si>
  <si>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</si>
  <si>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</si>
  <si>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</si>
  <si>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</si>
  <si>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</si>
  <si>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</si>
  <si>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</si>
  <si>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</si>
  <si>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</si>
  <si>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</si>
  <si>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</si>
  <si>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</si>
  <si>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</si>
  <si>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</si>
  <si>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</si>
  <si>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</si>
  <si>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</si>
  <si>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</si>
  <si>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</si>
  <si>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</si>
  <si>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</si>
  <si>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</si>
  <si>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</si>
  <si>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</si>
  <si>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</si>
  <si>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</si>
  <si>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</si>
  <si>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</si>
  <si>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</si>
  <si>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</si>
  <si>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</si>
  <si>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</si>
  <si>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</si>
  <si>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</si>
  <si>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</si>
  <si>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</si>
  <si>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</si>
  <si>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</si>
  <si>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</si>
  <si>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</si>
  <si>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</si>
  <si>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</si>
  <si>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</si>
  <si>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</si>
  <si>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</si>
  <si>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</si>
  <si>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</si>
  <si>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</si>
  <si>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</si>
  <si>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</si>
  <si>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</si>
  <si>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</si>
  <si>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</si>
  <si>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</si>
  <si>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</si>
  <si>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</si>
  <si>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</si>
  <si>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</si>
  <si>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</si>
  <si>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</si>
  <si>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</si>
  <si>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</si>
  <si>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</si>
  <si>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</si>
  <si>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</si>
  <si>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</si>
  <si>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</si>
  <si>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</si>
  <si>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</si>
  <si>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</si>
  <si>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</si>
  <si>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</si>
  <si>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</si>
  <si>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</si>
  <si>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</si>
  <si>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</si>
  <si>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</si>
  <si>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</si>
  <si>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</si>
  <si>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</si>
  <si>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</si>
  <si>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</si>
  <si>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</si>
  <si>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</si>
  <si>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</si>
  <si>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</si>
  <si>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</si>
  <si>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</si>
  <si>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</si>
  <si>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</si>
  <si>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</si>
  <si>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</si>
  <si>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</si>
  <si>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</si>
  <si>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</si>
  <si>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</si>
  <si>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</si>
  <si>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</si>
  <si>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</si>
  <si>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</si>
  <si>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</si>
  <si>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</si>
  <si>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</si>
  <si>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</si>
  <si>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</si>
  <si>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</si>
  <si>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</si>
  <si>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</si>
  <si>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</si>
  <si>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</si>
  <si>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</si>
  <si>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</si>
  <si>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</si>
  <si>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</si>
  <si>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</si>
  <si>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</si>
  <si>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</si>
  <si>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</si>
  <si>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</si>
  <si>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</si>
  <si>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</si>
  <si>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</si>
  <si>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</si>
  <si>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</si>
  <si>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</si>
  <si>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</si>
  <si>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</si>
  <si>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</si>
  <si>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</si>
  <si>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</si>
  <si>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</si>
  <si>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</si>
  <si>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</si>
  <si>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</si>
  <si>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</si>
  <si>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</si>
  <si>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</si>
  <si>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</si>
  <si>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</si>
  <si>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</si>
  <si>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</si>
  <si>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</si>
  <si>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</si>
  <si>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</si>
  <si>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</si>
  <si>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</si>
  <si>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</si>
  <si>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</si>
  <si>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</si>
  <si>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</si>
  <si>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</si>
  <si>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</si>
  <si>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</si>
  <si>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</si>
  <si>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</si>
  <si>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</si>
  <si>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</si>
  <si>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</si>
  <si>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</si>
  <si>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</si>
  <si>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</si>
  <si>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</si>
  <si>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</si>
  <si>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</si>
  <si>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</si>
  <si>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</si>
  <si>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</si>
  <si>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</si>
  <si>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</si>
  <si>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</si>
  <si>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</si>
  <si>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</si>
  <si>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</si>
  <si>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</si>
  <si>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</si>
  <si>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</si>
  <si>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</si>
  <si>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</si>
  <si>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</si>
  <si>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</si>
  <si>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</si>
  <si>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</si>
  <si>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</si>
  <si>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</si>
  <si>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</si>
  <si>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</si>
  <si>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</si>
  <si>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</si>
  <si>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</si>
  <si>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</si>
  <si>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</si>
  <si>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</si>
  <si>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</si>
  <si>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</si>
  <si>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</si>
  <si>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</si>
  <si>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</si>
  <si>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</si>
  <si>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</si>
  <si>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</si>
  <si>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</si>
  <si>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</si>
  <si>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</si>
  <si>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</si>
  <si>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</si>
  <si>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</si>
  <si>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</si>
  <si>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</si>
  <si>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</si>
  <si>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</si>
  <si>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</si>
  <si>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</si>
  <si>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</si>
  <si>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</si>
  <si>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</si>
  <si>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</si>
  <si>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</si>
  <si>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</si>
  <si>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</si>
  <si>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</si>
  <si>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</si>
  <si>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</si>
  <si>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</si>
  <si>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</si>
  <si>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</si>
  <si>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</si>
  <si>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</si>
  <si>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</si>
  <si>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</si>
  <si>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</si>
  <si>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</si>
  <si>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</si>
  <si>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</si>
  <si>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</si>
  <si>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</si>
  <si>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</si>
  <si>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</si>
  <si>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</si>
  <si>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</si>
  <si>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</si>
  <si>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</si>
  <si>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</si>
  <si>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</si>
  <si>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</si>
  <si>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</si>
  <si>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</si>
  <si>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</si>
  <si>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</si>
  <si>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</si>
  <si>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</si>
  <si>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</si>
  <si>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</si>
  <si>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</si>
  <si>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</si>
  <si>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</si>
  <si>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</si>
  <si>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</si>
  <si>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</si>
  <si>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</si>
  <si>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</si>
  <si>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</si>
  <si>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</si>
  <si>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</si>
  <si>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</si>
  <si>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</si>
  <si>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</si>
  <si>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</si>
  <si>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</si>
  <si>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</si>
  <si>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</si>
  <si>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</si>
  <si>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</si>
  <si>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</si>
  <si>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</si>
  <si>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</si>
  <si>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</si>
  <si>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</si>
  <si>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</si>
  <si>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</si>
  <si>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</si>
  <si>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</si>
  <si>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</si>
  <si>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</si>
  <si>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</si>
  <si>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</si>
  <si>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</si>
  <si>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</si>
  <si>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</si>
  <si>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</si>
  <si>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</si>
  <si>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</si>
  <si>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</si>
  <si>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</si>
  <si>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</si>
  <si>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</si>
  <si>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</si>
  <si>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</si>
  <si>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</si>
  <si>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</si>
  <si>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</si>
  <si>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</si>
  <si>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</si>
  <si>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</si>
  <si>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</si>
  <si>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</si>
  <si>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</si>
  <si>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</si>
  <si>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</si>
  <si>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</si>
  <si>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</si>
  <si>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</si>
  <si>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</si>
  <si>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</si>
  <si>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</si>
  <si>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</si>
  <si>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</si>
  <si>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</si>
  <si>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</si>
  <si>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</si>
  <si>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</si>
  <si>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</si>
  <si>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</si>
  <si>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</si>
  <si>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</si>
  <si>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</si>
  <si>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</si>
  <si>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</si>
  <si>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</si>
  <si>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</si>
  <si>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</si>
  <si>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</si>
  <si>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</si>
  <si>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</si>
  <si>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</si>
  <si>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</si>
  <si>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</si>
  <si>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</si>
  <si>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</si>
  <si>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</si>
  <si>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</si>
  <si>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</si>
  <si>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</si>
  <si>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</si>
  <si>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</si>
  <si>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</si>
  <si>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</si>
  <si>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</si>
  <si>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</si>
  <si>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</si>
  <si>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</si>
  <si>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</si>
  <si>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</si>
  <si>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</si>
  <si>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</si>
  <si>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</si>
  <si>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</si>
  <si>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</si>
  <si>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</si>
  <si>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</si>
  <si>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</si>
  <si>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</si>
  <si>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</si>
  <si>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</si>
  <si>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</si>
  <si>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</si>
  <si>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</si>
  <si>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</si>
  <si>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</si>
  <si>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</si>
  <si>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</si>
  <si>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</si>
  <si>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</si>
  <si>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</si>
  <si>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</si>
  <si>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</si>
  <si>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</si>
  <si>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</si>
  <si>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</si>
  <si>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</si>
  <si>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</si>
  <si>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</si>
  <si>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</si>
  <si>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</si>
  <si>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</si>
  <si>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</si>
  <si>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</si>
  <si>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</si>
  <si>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</si>
  <si>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</si>
  <si>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</si>
  <si>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</si>
  <si>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</si>
  <si>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</si>
  <si>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</si>
  <si>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</si>
  <si>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</si>
  <si>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</si>
  <si>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</si>
  <si>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</si>
  <si>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</si>
  <si>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</si>
  <si>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</si>
  <si>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</si>
  <si>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</si>
  <si>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</si>
  <si>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</si>
  <si>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</si>
  <si>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</si>
  <si>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</si>
  <si>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</si>
  <si>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</si>
  <si>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</si>
  <si>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</si>
  <si>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</si>
  <si>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</si>
  <si>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</si>
  <si>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</si>
  <si>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</si>
  <si>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</si>
  <si>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</si>
  <si>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</si>
  <si>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</si>
  <si>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</si>
  <si>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</si>
  <si>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</si>
  <si>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</si>
  <si>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</si>
  <si>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</si>
  <si>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</si>
  <si>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</si>
  <si>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</si>
  <si>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</si>
  <si>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</si>
  <si>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</si>
  <si>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</si>
  <si>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</si>
  <si>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</si>
  <si>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</si>
  <si>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</si>
  <si>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</si>
  <si>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</si>
  <si>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</si>
  <si>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</si>
  <si>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</si>
  <si>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</si>
  <si>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</si>
  <si>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</si>
  <si>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</si>
  <si>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</si>
  <si>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</si>
  <si>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</si>
  <si>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</si>
  <si>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</si>
  <si>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</si>
  <si>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</si>
  <si>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</si>
  <si>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</si>
  <si>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</si>
  <si>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</si>
  <si>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</si>
  <si>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</si>
  <si>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</si>
  <si>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</si>
  <si>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</si>
  <si>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</si>
  <si>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</si>
  <si>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</si>
  <si>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</si>
  <si>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</si>
  <si>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</si>
  <si>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</si>
  <si>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</si>
  <si>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</si>
  <si>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</si>
  <si>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</si>
  <si>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</si>
  <si>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</si>
  <si>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</si>
  <si>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</si>
  <si>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</si>
  <si>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</si>
  <si>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Logo</t>
  </si>
  <si>
    <t>Color Scheme</t>
  </si>
  <si>
    <t>#9FBFAD</t>
  </si>
  <si>
    <t>#748C76</t>
  </si>
  <si>
    <t>#505947</t>
  </si>
  <si>
    <t>#BF7F5A</t>
  </si>
  <si>
    <t>#BF3939</t>
  </si>
  <si>
    <t>#4887E6</t>
  </si>
  <si>
    <t>Accent 1</t>
  </si>
  <si>
    <t>Accent 2</t>
  </si>
  <si>
    <t>Accent 3</t>
  </si>
  <si>
    <t>Accent 4</t>
  </si>
  <si>
    <t>Accent 5</t>
  </si>
  <si>
    <t>Accent 6</t>
  </si>
  <si>
    <t>Emojis</t>
  </si>
  <si>
    <t>🛒</t>
  </si>
  <si>
    <t>👕</t>
  </si>
  <si>
    <t>💰</t>
  </si>
  <si>
    <t>⭐</t>
  </si>
  <si>
    <t>📅</t>
  </si>
  <si>
    <t>Orders</t>
  </si>
  <si>
    <t>Rating</t>
  </si>
  <si>
    <t>Days to deliver</t>
  </si>
  <si>
    <t>Format Codes</t>
  </si>
  <si>
    <t>#,##</t>
  </si>
  <si>
    <t>value with thousand's seperator</t>
  </si>
  <si>
    <t>$#,##,.0k</t>
  </si>
  <si>
    <t>Amount in thousands with one decimal</t>
  </si>
  <si>
    <t>0.0</t>
  </si>
  <si>
    <t>Other numbers</t>
  </si>
  <si>
    <t>Resouces:</t>
  </si>
  <si>
    <t>Excel Dashboard Tutorial Video</t>
  </si>
  <si>
    <t>Adv. Excel Dashboards Course by Chandoo</t>
  </si>
  <si>
    <t>You will get the full workbook in the course!</t>
  </si>
  <si>
    <t>Count of TX ID</t>
  </si>
  <si>
    <t>Sum of Quantity</t>
  </si>
  <si>
    <t>Sum of Amount</t>
  </si>
  <si>
    <t>Average of Rating C</t>
  </si>
  <si>
    <t>Average of Days to Deliver</t>
  </si>
  <si>
    <t>Values for Display</t>
  </si>
  <si>
    <t>Qty</t>
  </si>
  <si>
    <t>Avg.Rating</t>
  </si>
  <si>
    <t>Avg. Days</t>
  </si>
  <si>
    <t>Unknown</t>
  </si>
  <si>
    <t>Male</t>
  </si>
  <si>
    <t>Female</t>
  </si>
  <si>
    <t>Other</t>
  </si>
  <si>
    <t>Row Labels</t>
  </si>
  <si>
    <t>Grand Total</t>
  </si>
  <si>
    <t>Column Labels</t>
  </si>
  <si>
    <t>For matrix</t>
  </si>
  <si>
    <t>More than 10</t>
  </si>
  <si>
    <t>6 to 10</t>
  </si>
  <si>
    <t>Gender</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</si>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</sst>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0"/>
    <numFmt numFmtId="165" formatCode="0.0%"/>
  </numFmts>
  <fonts count="5" x14ac:knownFonts="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8"/>
      <color theme="1"/>
      <name val="Aptos Narrow"/>
      <family val="2"/>
      <scheme val="minor"/>
    </font>
  </fonts>
  <fills count="9">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4" tint="0.79998168889431442"/>
        <bgColor theme="4" tint="0.79998168889431442"/>
      </patternFill>
    </fill>
  </fills>
  <borders count="4">
    <border>
      <left/>
      <right/>
      <top/>
      <bottom/>
      <diagonal/>
    </border>
    <border>
      <left/>
      <right/>
      <top/>
      <bottom style="thin">
        <color theme="4" tint="0.39997558519241921"/>
      </bottom>
      <diagonal/>
    </border>
    <border>
      <left/>
      <right/>
      <top style="thin">
        <color theme="4" tint="0.39997558519241921"/>
      </top>
      <bottom/>
      <diagonal/>
    </border>
    <border>
      <left style="thick">
        <color theme="0"/>
      </left>
      <right style="thick">
        <color theme="0"/>
      </right>
      <top style="thick">
        <color theme="0"/>
      </top>
      <bottom style="thick">
        <color theme="0"/>
      </bottom>
      <diagonal/>
    </border>
  </borders>
  <cellStyleXfs count="2">
    <xf numFmtId="0" fontId="0" fillId="0" borderId="0"/>
    <xf numFmtId="0" fontId="3" fillId="0" borderId="0" applyNumberFormat="0" applyFill="0" applyBorder="0" applyAlignment="0" applyProtection="0"/>
  </cellStyleXfs>
  <cellXfs count="27">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3" fillId="0" borderId="0" xfId="1"/>
    <xf numFmtId="0" fontId="1" fillId="8" borderId="1" xfId="0" applyFont="1" applyFill="1" applyBorder="1"/>
    <xf numFmtId="0" fontId="4" fillId="0" borderId="0" xfId="0" applyFont="1"/>
    <xf numFmtId="0" fontId="0" fillId="0" borderId="0" xfId="0" pivotButton="1"/>
    <xf numFmtId="0" fontId="1" fillId="0" borderId="0" xfId="0" applyFont="1"/>
    <xf numFmtId="0" fontId="0" fillId="0" borderId="0" xfId="0" applyAlignment="1">
      <alignment horizontal="left"/>
    </xf>
    <xf numFmtId="164" fontId="0" fillId="0" borderId="0" xfId="0" applyNumberFormat="1"/>
    <xf numFmtId="10" fontId="0" fillId="0" borderId="0" xfId="0" applyNumberFormat="1"/>
    <xf numFmtId="165" fontId="0" fillId="0" borderId="0" xfId="0" applyNumberFormat="1"/>
    <xf numFmtId="165" fontId="0" fillId="0" borderId="0" xfId="0" applyNumberFormat="1" applyAlignment="1">
      <alignment horizontal="center" vertical="top"/>
    </xf>
    <xf numFmtId="0" fontId="0" fillId="0" borderId="3" xfId="0" applyBorder="1"/>
    <xf numFmtId="165" fontId="0" fillId="0" borderId="3" xfId="0" applyNumberFormat="1" applyBorder="1" applyAlignment="1">
      <alignment horizontal="center" vertical="top"/>
    </xf>
    <xf numFmtId="0" fontId="1" fillId="8" borderId="2" xfId="0" applyFont="1" applyFill="1" applyBorder="1" applyAlignment="1">
      <alignment horizontal="left"/>
    </xf>
    <xf numFmtId="0" fontId="1" fillId="8" borderId="2" xfId="0" applyFont="1" applyFill="1" applyBorder="1"/>
    <xf numFmtId="0" fontId="1" fillId="8" borderId="1" xfId="0" applyFont="1" applyFill="1" applyBorder="1" applyAlignment="1">
      <alignment horizontal="center"/>
    </xf>
    <xf numFmtId="0" fontId="0" fillId="0" borderId="0" xfId="0" applyNumberFormat="1"/>
  </cellXfs>
  <cellStyles count="2">
    <cellStyle name="Hyperlink" xfId="1" builtinId="8"/>
    <cellStyle name="Normal" xfId="0" builtinId="0"/>
  </cellStyles>
  <dxfs count="77">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font>
        <b/>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1"/>
        <name val="Aptos Narrow"/>
        <family val="2"/>
        <scheme val="minor"/>
      </font>
    </dxf>
    <dxf>
      <border outline="0">
        <bottom style="thin">
          <color theme="4" tint="0.39997558519241921"/>
        </bottom>
      </border>
    </dxf>
    <dxf>
      <font>
        <b/>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1"/>
        <name val="Aptos Narrow"/>
        <family val="2"/>
        <scheme val="minor"/>
      </font>
    </dxf>
    <dxf>
      <border outline="0">
        <bottom style="thin">
          <color theme="4" tint="0.39997558519241921"/>
        </bottom>
      </border>
    </dxf>
    <dxf>
      <numFmt numFmtId="164" formatCode="[$$-409]#,##0"/>
    </dxf>
    <dxf>
      <numFmt numFmtId="164" formatCode="[$$-409]#,##0"/>
    </dxf>
    <dxf>
      <numFmt numFmtId="164" formatCode="[$$-409]#,##0"/>
    </dxf>
    <dxf>
      <numFmt numFmtId="0" formatCode="General"/>
    </dxf>
    <dxf>
      <numFmt numFmtId="0" formatCode="General"/>
    </dxf>
    <dxf>
      <numFmt numFmtId="0" formatCode="General"/>
    </dxf>
    <dxf>
      <numFmt numFmtId="166" formatCode="d\-mmm\-yy"/>
    </dxf>
    <dxf>
      <numFmt numFmtId="166" formatCode="d\-mmm\-yy"/>
    </dxf>
  </dxfs>
  <tableStyles count="1" defaultTableStyle="TableStyleMedium2" defaultPivotStyle="PivotStyleLight16">
    <tableStyle name="Invisible" pivot="0" table="0" count="0" xr9:uid="{73C326B9-39DD-4E48-897E-12727E33FDDC}"/>
  </tableStyles>
  <colors>
    <mruColors>
      <color rgb="FFFFCC00"/>
      <color rgb="FF008000"/>
      <color rgb="FFFF9900"/>
      <color rgb="FF66FF66"/>
      <color rgb="FF33CC33"/>
      <color rgb="FF99FF99"/>
      <color rgb="FF9FBFAD"/>
      <color rgb="FF00CC00"/>
      <color rgb="FF00FF00"/>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[ecommerce-blank.xlsx]Pivots!Pvt trend</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Last</a:t>
            </a:r>
            <a:r>
              <a:rPr lang="en-IN" sz="1600" b="1" baseline="0"/>
              <a:t> 13 Week Trends - Qty &amp; Amount</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Pivots!$B$11</c:f>
              <c:strCache>
                <c:ptCount val="1"/>
                <c:pt idx="0">
                  <c:v>Sum of Quantity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Pivots!$B$12:$B$25</c:f>
              <c:numCache>
                <c:formatCode>General</c:formatCode>
                <c:ptCount val="13"/>
                <c:pt idx="0">
                  <c:v>46</c:v>
                </c:pt>
                <c:pt idx="1">
                  <c:v>123</c:v>
                </c:pt>
                <c:pt idx="2">
                  <c:v>166</c:v>
                </c:pt>
                <c:pt idx="3">
                  <c:v>106</c:v>
                </c:pt>
                <c:pt idx="4">
                  <c:v>66</c:v>
                </c:pt>
                <c:pt idx="5">
                  <c:v>103</c:v>
                </c:pt>
                <c:pt idx="6">
                  <c:v>98</c:v>
                </c:pt>
                <c:pt idx="7">
                  <c:v>100</c:v>
                </c:pt>
                <c:pt idx="8">
                  <c:v>82</c:v>
                </c:pt>
                <c:pt idx="9">
                  <c:v>105</c:v>
                </c:pt>
                <c:pt idx="10">
                  <c:v>89</c:v>
                </c:pt>
                <c:pt idx="11">
                  <c:v>123</c:v>
                </c:pt>
                <c:pt idx="12">
                  <c:v>105</c:v>
                </c:pt>
              </c:numCache>
            </c:numRef>
          </c:val>
          <c:smooth val="0"/>
          <c:extLst>
            <c:ext xmlns:c16="http://schemas.microsoft.com/office/drawing/2014/chart" uri="{C3380CC4-5D6E-409C-BE32-E72D297353CC}">
              <c16:uniqueId val="{00000000-9D55-4321-8E95-A458088B0B11}"/>
            </c:ext>
          </c:extLst>
        </c:ser>
        <c:dLbls>
          <c:showLegendKey val="0"/>
          <c:showVal val="0"/>
          <c:showCatName val="0"/>
          <c:showSerName val="0"/>
          <c:showPercent val="0"/>
          <c:showBubbleSize val="0"/>
        </c:dLbls>
        <c:marker val="1"/>
        <c:smooth val="0"/>
        <c:axId val="407558208"/>
        <c:axId val="407556768"/>
      </c:lineChart>
      <c:lineChart>
        <c:grouping val="standard"/>
        <c:varyColors val="0"/>
        <c:ser>
          <c:idx val="1"/>
          <c:order val="1"/>
          <c:tx>
            <c:strRef>
              <c:f>Pivots!$C$11</c:f>
              <c:strCache>
                <c:ptCount val="1"/>
                <c:pt idx="0">
                  <c:v>Sum of Amount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Pivots!$A$12:$A$25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Pivots!$C$12:$C$25</c:f>
              <c:numCache>
                <c:formatCode>[$$-409]#,##0</c:formatCode>
                <c:ptCount val="13"/>
                <c:pt idx="0">
                  <c:v>2464.5</c:v>
                </c:pt>
                <c:pt idx="1">
                  <c:v>6640.8999999999987</c:v>
                </c:pt>
                <c:pt idx="2">
                  <c:v>11586.4</c:v>
                </c:pt>
                <c:pt idx="3">
                  <c:v>6299.0000000000009</c:v>
                </c:pt>
                <c:pt idx="4">
                  <c:v>3651.5</c:v>
                </c:pt>
                <c:pt idx="5">
                  <c:v>6947.5999999999995</c:v>
                </c:pt>
                <c:pt idx="6">
                  <c:v>5445.5</c:v>
                </c:pt>
                <c:pt idx="7">
                  <c:v>6602.9</c:v>
                </c:pt>
                <c:pt idx="8">
                  <c:v>5227.3999999999996</c:v>
                </c:pt>
                <c:pt idx="9">
                  <c:v>7823.9000000000015</c:v>
                </c:pt>
                <c:pt idx="10">
                  <c:v>5548.7</c:v>
                </c:pt>
                <c:pt idx="11">
                  <c:v>6268.2000000000007</c:v>
                </c:pt>
                <c:pt idx="12">
                  <c:v>6764.4000000000005</c:v>
                </c:pt>
              </c:numCache>
            </c:numRef>
          </c:val>
          <c:smooth val="0"/>
          <c:extLst>
            <c:ext xmlns:c16="http://schemas.microsoft.com/office/drawing/2014/chart" uri="{C3380CC4-5D6E-409C-BE32-E72D297353CC}">
              <c16:uniqueId val="{00000001-9D55-4321-8E95-A458088B0B11}"/>
            </c:ext>
          </c:extLst>
        </c:ser>
        <c:dLbls>
          <c:showLegendKey val="0"/>
          <c:showVal val="0"/>
          <c:showCatName val="0"/>
          <c:showSerName val="0"/>
          <c:showPercent val="0"/>
          <c:showBubbleSize val="0"/>
        </c:dLbls>
        <c:marker val="1"/>
        <c:smooth val="0"/>
        <c:axId val="1278696912"/>
        <c:axId val="1278690672"/>
      </c:lineChart>
      <c:catAx>
        <c:axId val="40755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556768"/>
        <c:crosses val="autoZero"/>
        <c:auto val="1"/>
        <c:lblAlgn val="ctr"/>
        <c:lblOffset val="100"/>
        <c:noMultiLvlLbl val="0"/>
      </c:catAx>
      <c:valAx>
        <c:axId val="407556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558208"/>
        <c:crosses val="autoZero"/>
        <c:crossBetween val="between"/>
      </c:valAx>
      <c:valAx>
        <c:axId val="1278690672"/>
        <c:scaling>
          <c:orientation val="minMax"/>
        </c:scaling>
        <c:delete val="0"/>
        <c:axPos val="r"/>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696912"/>
        <c:crosses val="max"/>
        <c:crossBetween val="between"/>
      </c:valAx>
      <c:catAx>
        <c:axId val="1278696912"/>
        <c:scaling>
          <c:orientation val="minMax"/>
        </c:scaling>
        <c:delete val="1"/>
        <c:axPos val="b"/>
        <c:numFmt formatCode="General" sourceLinked="1"/>
        <c:majorTickMark val="out"/>
        <c:minorTickMark val="none"/>
        <c:tickLblPos val="nextTo"/>
        <c:crossAx val="127869067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[ecommerce-blank.xlsx]Pivots!pvtqty</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1"/>
              <a:t>How</a:t>
            </a:r>
            <a:r>
              <a:rPr lang="en-US" b="1" baseline="0"/>
              <a:t> many they buy?</a:t>
            </a:r>
          </a:p>
        </c:rich>
      </c:tx>
      <c:layout>
        <c:manualLayout>
          <c:xMode val="edge"/>
          <c:yMode val="edge"/>
          <c:x val="0.27794433136192165"/>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accent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03874294474252E-2"/>
          <c:y val="0.11358814523184604"/>
          <c:w val="0.88351287947413648"/>
          <c:h val="0.72852617381160689"/>
        </c:manualLayout>
      </c:layout>
      <c:barChart>
        <c:barDir val="col"/>
        <c:grouping val="clustered"/>
        <c:varyColors val="0"/>
        <c:ser>
          <c:idx val="0"/>
          <c:order val="0"/>
          <c:tx>
            <c:strRef>
              <c:f>Pivots!$B$28</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accent1"/>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Pivots!$A$29:$A$36</c:f>
              <c:strCache>
                <c:ptCount val="7"/>
                <c:pt idx="0">
                  <c:v>1</c:v>
                </c:pt>
                <c:pt idx="1">
                  <c:v>2</c:v>
                </c:pt>
                <c:pt idx="2">
                  <c:v>3</c:v>
                </c:pt>
                <c:pt idx="3">
                  <c:v>4</c:v>
                </c:pt>
                <c:pt idx="4">
                  <c:v>5</c:v>
                </c:pt>
                <c:pt idx="5">
                  <c:v>6 to 10</c:v>
                </c:pt>
                <c:pt idx="6">
                  <c:v>More than 10</c:v>
                </c:pt>
              </c:strCache>
            </c:strRef>
          </c:cat>
          <c:val>
            <c:numRef>
              <c:f>Pivots!$B$29:$B$36</c:f>
              <c:numCache>
                <c:formatCode>General</c:formatCode>
                <c:ptCount val="7"/>
                <c:pt idx="0">
                  <c:v>42</c:v>
                </c:pt>
                <c:pt idx="1">
                  <c:v>71</c:v>
                </c:pt>
                <c:pt idx="2">
                  <c:v>54</c:v>
                </c:pt>
                <c:pt idx="3">
                  <c:v>33</c:v>
                </c:pt>
                <c:pt idx="4">
                  <c:v>22</c:v>
                </c:pt>
                <c:pt idx="5">
                  <c:v>48</c:v>
                </c:pt>
                <c:pt idx="6">
                  <c:v>21</c:v>
                </c:pt>
              </c:numCache>
            </c:numRef>
          </c:val>
          <c:extLst>
            <c:ext xmlns:c16="http://schemas.microsoft.com/office/drawing/2014/chart" uri="{C3380CC4-5D6E-409C-BE32-E72D297353CC}">
              <c16:uniqueId val="{00000000-E079-435B-AE57-7C3F108ADB89}"/>
            </c:ext>
          </c:extLst>
        </c:ser>
        <c:dLbls>
          <c:dLblPos val="outEnd"/>
          <c:showLegendKey val="0"/>
          <c:showVal val="1"/>
          <c:showCatName val="0"/>
          <c:showSerName val="0"/>
          <c:showPercent val="0"/>
          <c:showBubbleSize val="0"/>
        </c:dLbls>
        <c:gapWidth val="0"/>
        <c:overlap val="10"/>
        <c:axId val="501891216"/>
        <c:axId val="1131607120"/>
      </c:barChart>
      <c:catAx>
        <c:axId val="5018912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607120"/>
        <c:crosses val="autoZero"/>
        <c:auto val="1"/>
        <c:lblAlgn val="ctr"/>
        <c:lblOffset val="100"/>
        <c:noMultiLvlLbl val="0"/>
      </c:catAx>
      <c:valAx>
        <c:axId val="1131607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89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a:t>Which</a:t>
            </a:r>
            <a:r>
              <a:rPr lang="en-IN" sz="1600" b="1" baseline="0"/>
              <a:t> products are popular? Breakdown by gender</a:t>
            </a:r>
            <a:endParaRPr lang="en-IN" sz="1600" b="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Pivots!$I$40</c:f>
              <c:strCache>
                <c:ptCount val="1"/>
                <c:pt idx="0">
                  <c:v>Unknown</c:v>
                </c:pt>
              </c:strCache>
            </c:strRef>
          </c:tx>
          <c:spPr>
            <a:solidFill>
              <a:srgbClr val="33CC33"/>
            </a:solidFill>
            <a:ln>
              <a:noFill/>
            </a:ln>
            <a:effectLst/>
          </c:spPr>
          <c:invertIfNegative val="0"/>
          <c:cat>
            <c:strRef>
              <c:extLst>
                <c:ext xmlns:c15="http://schemas.microsoft.com/office/drawing/2012/chart" uri="{02D57815-91ED-43cb-92C2-25804820EDAC}">
                  <c15:fullRef>
                    <c15:sqref>Pivots!$H$41:$H$61</c15:sqref>
                  </c15:fullRef>
                </c:ext>
              </c:extLst>
              <c:f>Pivots!$H$41:$H$60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extLst>
                <c:ext xmlns:c15="http://schemas.microsoft.com/office/drawing/2012/chart" uri="{02D57815-91ED-43cb-92C2-25804820EDAC}">
                  <c15:fullRef>
                    <c15:sqref>Pivots!$I$41:$I$61</c15:sqref>
                  </c15:fullRef>
                </c:ext>
              </c:extLst>
              <c:f>Pivots!$I$41:$I$60</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0-9A27-4C9D-8B60-32D0445DBC9A}"/>
            </c:ext>
          </c:extLst>
        </c:ser>
        <c:ser>
          <c:idx val="1"/>
          <c:order val="1"/>
          <c:tx>
            <c:strRef>
              <c:f>Pivots!$J$40</c:f>
              <c:strCache>
                <c:ptCount val="1"/>
                <c:pt idx="0">
                  <c:v>Female</c:v>
                </c:pt>
              </c:strCache>
            </c:strRef>
          </c:tx>
          <c:spPr>
            <a:solidFill>
              <a:schemeClr val="accent4"/>
            </a:solidFill>
            <a:ln>
              <a:noFill/>
            </a:ln>
            <a:effectLst/>
          </c:spPr>
          <c:invertIfNegative val="0"/>
          <c:cat>
            <c:strRef>
              <c:extLst>
                <c:ext xmlns:c15="http://schemas.microsoft.com/office/drawing/2012/chart" uri="{02D57815-91ED-43cb-92C2-25804820EDAC}">
                  <c15:fullRef>
                    <c15:sqref>Pivots!$H$41:$H$61</c15:sqref>
                  </c15:fullRef>
                </c:ext>
              </c:extLst>
              <c:f>Pivots!$H$41:$H$60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extLst>
                <c:ext xmlns:c15="http://schemas.microsoft.com/office/drawing/2012/chart" uri="{02D57815-91ED-43cb-92C2-25804820EDAC}">
                  <c15:fullRef>
                    <c15:sqref>Pivots!$J$41:$J$61</c15:sqref>
                  </c15:fullRef>
                </c:ext>
              </c:extLst>
              <c:f>Pivots!$J$41:$J$60</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1-9A27-4C9D-8B60-32D0445DBC9A}"/>
            </c:ext>
          </c:extLst>
        </c:ser>
        <c:ser>
          <c:idx val="2"/>
          <c:order val="2"/>
          <c:tx>
            <c:strRef>
              <c:f>Pivots!$K$40</c:f>
              <c:strCache>
                <c:ptCount val="1"/>
                <c:pt idx="0">
                  <c:v>Male</c:v>
                </c:pt>
              </c:strCache>
            </c:strRef>
          </c:tx>
          <c:spPr>
            <a:solidFill>
              <a:schemeClr val="accent6"/>
            </a:solidFill>
            <a:ln>
              <a:noFill/>
            </a:ln>
            <a:effectLst/>
          </c:spPr>
          <c:invertIfNegative val="0"/>
          <c:cat>
            <c:strRef>
              <c:extLst>
                <c:ext xmlns:c15="http://schemas.microsoft.com/office/drawing/2012/chart" uri="{02D57815-91ED-43cb-92C2-25804820EDAC}">
                  <c15:fullRef>
                    <c15:sqref>Pivots!$H$41:$H$61</c15:sqref>
                  </c15:fullRef>
                </c:ext>
              </c:extLst>
              <c:f>Pivots!$H$41:$H$60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extLst>
                <c:ext xmlns:c15="http://schemas.microsoft.com/office/drawing/2012/chart" uri="{02D57815-91ED-43cb-92C2-25804820EDAC}">
                  <c15:fullRef>
                    <c15:sqref>Pivots!$K$41:$K$61</c15:sqref>
                  </c15:fullRef>
                </c:ext>
              </c:extLst>
              <c:f>Pivots!$K$41:$K$60</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2-9A27-4C9D-8B60-32D0445DBC9A}"/>
            </c:ext>
          </c:extLst>
        </c:ser>
        <c:ser>
          <c:idx val="3"/>
          <c:order val="3"/>
          <c:tx>
            <c:strRef>
              <c:f>Pivots!$L$40</c:f>
              <c:strCache>
                <c:ptCount val="1"/>
                <c:pt idx="0">
                  <c:v>Other</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Pivots!$H$41:$H$61</c15:sqref>
                  </c15:fullRef>
                </c:ext>
              </c:extLst>
              <c:f>Pivots!$H$41:$H$60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extLst>
                <c:ext xmlns:c15="http://schemas.microsoft.com/office/drawing/2012/chart" uri="{02D57815-91ED-43cb-92C2-25804820EDAC}">
                  <c15:fullRef>
                    <c15:sqref>Pivots!$L$41:$L$61</c15:sqref>
                  </c15:fullRef>
                </c:ext>
              </c:extLst>
              <c:f>Pivots!$L$41:$L$60</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3-9A27-4C9D-8B60-32D0445DBC9A}"/>
            </c:ext>
          </c:extLst>
        </c:ser>
        <c:dLbls>
          <c:showLegendKey val="0"/>
          <c:showVal val="0"/>
          <c:showCatName val="0"/>
          <c:showSerName val="0"/>
          <c:showPercent val="0"/>
          <c:showBubbleSize val="0"/>
        </c:dLbls>
        <c:gapWidth val="150"/>
        <c:overlap val="100"/>
        <c:axId val="566161936"/>
        <c:axId val="566162416"/>
        <c:extLst>
          <c:ext xmlns:c15="http://schemas.microsoft.com/office/drawing/2012/chart" uri="{02D57815-91ED-43cb-92C2-25804820EDAC}">
            <c15:filteredBarSeries>
              <c15:ser>
                <c:idx val="4"/>
                <c:order val="4"/>
                <c:tx>
                  <c:strRef>
                    <c:extLst>
                      <c:ext uri="{02D57815-91ED-43cb-92C2-25804820EDAC}">
                        <c15:formulaRef>
                          <c15:sqref>Pivots!$M$40</c15:sqref>
                        </c15:formulaRef>
                      </c:ext>
                    </c:extLst>
                    <c:strCache>
                      <c:ptCount val="1"/>
                      <c:pt idx="0">
                        <c:v>Grand Total</c:v>
                      </c:pt>
                    </c:strCache>
                  </c:strRef>
                </c:tx>
                <c:spPr>
                  <a:solidFill>
                    <a:schemeClr val="accent4">
                      <a:lumMod val="60000"/>
                    </a:schemeClr>
                  </a:solidFill>
                  <a:ln>
                    <a:noFill/>
                  </a:ln>
                  <a:effectLst/>
                </c:spPr>
                <c:invertIfNegative val="0"/>
                <c:cat>
                  <c:strRef>
                    <c:extLst>
                      <c:ext uri="{02D57815-91ED-43cb-92C2-25804820EDAC}">
                        <c15:fullRef>
                          <c15:sqref>Pivots!$H$41:$H$61</c15:sqref>
                        </c15:fullRef>
                        <c15:formulaRef>
                          <c15:sqref>Pivots!$H$41:$H$60</c15:sqref>
                        </c15:formulaRef>
                      </c:ext>
                    </c:extLst>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extLst>
                      <c:ext uri="{02D57815-91ED-43cb-92C2-25804820EDAC}">
                        <c15:fullRef>
                          <c15:sqref>Pivots!$M$41:$M$61</c15:sqref>
                        </c15:fullRef>
                        <c15:formulaRef>
                          <c15:sqref>Pivots!$M$41:$M$60</c15:sqref>
                        </c15:formulaRef>
                      </c:ext>
                    </c:extLst>
                    <c:numCache>
                      <c:formatCode>General</c:formatCode>
                      <c:ptCount val="20"/>
                      <c:pt idx="0">
                        <c:v>1645</c:v>
                      </c:pt>
                      <c:pt idx="1">
                        <c:v>1546</c:v>
                      </c:pt>
                      <c:pt idx="2">
                        <c:v>1186</c:v>
                      </c:pt>
                      <c:pt idx="3">
                        <c:v>912</c:v>
                      </c:pt>
                      <c:pt idx="4">
                        <c:v>807</c:v>
                      </c:pt>
                      <c:pt idx="5">
                        <c:v>745</c:v>
                      </c:pt>
                      <c:pt idx="6">
                        <c:v>700</c:v>
                      </c:pt>
                      <c:pt idx="7">
                        <c:v>647</c:v>
                      </c:pt>
                      <c:pt idx="8">
                        <c:v>606</c:v>
                      </c:pt>
                      <c:pt idx="9">
                        <c:v>603</c:v>
                      </c:pt>
                      <c:pt idx="10">
                        <c:v>437</c:v>
                      </c:pt>
                      <c:pt idx="11">
                        <c:v>398</c:v>
                      </c:pt>
                      <c:pt idx="12">
                        <c:v>370</c:v>
                      </c:pt>
                      <c:pt idx="13">
                        <c:v>272</c:v>
                      </c:pt>
                      <c:pt idx="14">
                        <c:v>270</c:v>
                      </c:pt>
                      <c:pt idx="15">
                        <c:v>258</c:v>
                      </c:pt>
                      <c:pt idx="16">
                        <c:v>195</c:v>
                      </c:pt>
                      <c:pt idx="17">
                        <c:v>188</c:v>
                      </c:pt>
                      <c:pt idx="18">
                        <c:v>147</c:v>
                      </c:pt>
                      <c:pt idx="19">
                        <c:v>65</c:v>
                      </c:pt>
                    </c:numCache>
                  </c:numRef>
                </c:val>
                <c:extLst>
                  <c:ext xmlns:c16="http://schemas.microsoft.com/office/drawing/2014/chart" uri="{C3380CC4-5D6E-409C-BE32-E72D297353CC}">
                    <c16:uniqueId val="{00000004-9A27-4C9D-8B60-32D0445DBC9A}"/>
                  </c:ext>
                </c:extLst>
              </c15:ser>
            </c15:filteredBarSeries>
          </c:ext>
        </c:extLst>
      </c:barChart>
      <c:catAx>
        <c:axId val="566161936"/>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162416"/>
        <c:crosses val="autoZero"/>
        <c:auto val="1"/>
        <c:lblAlgn val="ctr"/>
        <c:lblOffset val="100"/>
        <c:noMultiLvlLbl val="0"/>
      </c:catAx>
      <c:valAx>
        <c:axId val="566162416"/>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161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176718450734199"/>
          <c:y val="0.22634851202909592"/>
          <c:w val="0.48727644179612684"/>
          <c:h val="0.70334947042488882"/>
        </c:manualLayout>
      </c:layout>
      <c:doughnutChart>
        <c:varyColors val="1"/>
        <c:ser>
          <c:idx val="0"/>
          <c:order val="0"/>
          <c:tx>
            <c:strRef>
              <c:f>Pivots!$G$65</c:f>
              <c:strCache>
                <c:ptCount val="1"/>
                <c:pt idx="0">
                  <c:v>Sum of Quantity</c:v>
                </c:pt>
              </c:strCache>
            </c:strRef>
          </c:tx>
          <c:dPt>
            <c:idx val="0"/>
            <c:bubble3D val="0"/>
            <c:spPr>
              <a:solidFill>
                <a:srgbClr val="66FF66"/>
              </a:solidFill>
              <a:ln w="19050">
                <a:solidFill>
                  <a:schemeClr val="lt1"/>
                </a:solidFill>
              </a:ln>
              <a:effectLst/>
            </c:spPr>
            <c:extLst>
              <c:ext xmlns:c16="http://schemas.microsoft.com/office/drawing/2014/chart" uri="{C3380CC4-5D6E-409C-BE32-E72D297353CC}">
                <c16:uniqueId val="{00000001-F40C-4AE7-973C-A2A6A8611B2B}"/>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F40C-4AE7-973C-A2A6A8611B2B}"/>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F40C-4AE7-973C-A2A6A8611B2B}"/>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F40C-4AE7-973C-A2A6A8611B2B}"/>
              </c:ext>
            </c:extLst>
          </c:dPt>
          <c:dLbls>
            <c:dLbl>
              <c:idx val="0"/>
              <c:layout>
                <c:manualLayout>
                  <c:x val="0.18643097346880111"/>
                  <c:y val="-7.509371932687646E-2"/>
                </c:manualLayout>
              </c:layout>
              <c:showLegendKey val="0"/>
              <c:showVal val="1"/>
              <c:showCatName val="1"/>
              <c:showSerName val="0"/>
              <c:showPercent val="1"/>
              <c:showBubbleSize val="0"/>
              <c:extLst>
                <c:ext xmlns:c15="http://schemas.microsoft.com/office/drawing/2012/chart" uri="{CE6537A1-D6FC-4f65-9D91-7224C49458BB}">
                  <c15:layout>
                    <c:manualLayout>
                      <c:w val="0.25123345392636731"/>
                      <c:h val="0.28327230727643576"/>
                    </c:manualLayout>
                  </c15:layout>
                </c:ext>
                <c:ext xmlns:c16="http://schemas.microsoft.com/office/drawing/2014/chart" uri="{C3380CC4-5D6E-409C-BE32-E72D297353CC}">
                  <c16:uniqueId val="{00000001-F40C-4AE7-973C-A2A6A8611B2B}"/>
                </c:ext>
              </c:extLst>
            </c:dLbl>
            <c:dLbl>
              <c:idx val="1"/>
              <c:layout>
                <c:manualLayout>
                  <c:x val="0.1309774639482407"/>
                  <c:y val="-5.2565603528813586E-2"/>
                </c:manualLayout>
              </c:layout>
              <c:showLegendKey val="0"/>
              <c:showVal val="1"/>
              <c:showCatName val="1"/>
              <c:showSerName val="0"/>
              <c:showPercent val="1"/>
              <c:showBubbleSize val="0"/>
              <c:extLst>
                <c:ext xmlns:c15="http://schemas.microsoft.com/office/drawing/2012/chart" uri="{CE6537A1-D6FC-4f65-9D91-7224C49458BB}">
                  <c15:layout>
                    <c:manualLayout>
                      <c:w val="0.23387061076824853"/>
                      <c:h val="0.28327230727643576"/>
                    </c:manualLayout>
                  </c15:layout>
                </c:ext>
                <c:ext xmlns:c16="http://schemas.microsoft.com/office/drawing/2014/chart" uri="{C3380CC4-5D6E-409C-BE32-E72D297353CC}">
                  <c16:uniqueId val="{00000003-F40C-4AE7-973C-A2A6A8611B2B}"/>
                </c:ext>
              </c:extLst>
            </c:dLbl>
            <c:dLbl>
              <c:idx val="2"/>
              <c:layout>
                <c:manualLayout>
                  <c:x val="-9.0721649484536107E-2"/>
                  <c:y val="1.5018743865375292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40C-4AE7-973C-A2A6A8611B2B}"/>
                </c:ext>
              </c:extLst>
            </c:dLbl>
            <c:dLbl>
              <c:idx val="3"/>
              <c:layout>
                <c:manualLayout>
                  <c:x val="-0.19381443298969073"/>
                  <c:y val="-8.2603091259564096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40C-4AE7-973C-A2A6A8611B2B}"/>
                </c:ext>
              </c:extLst>
            </c:dLbl>
            <c:spPr>
              <a:solidFill>
                <a:sysClr val="window" lastClr="FFFFFF"/>
              </a:solidFill>
              <a:ln>
                <a:solidFill>
                  <a:sysClr val="windowText" lastClr="000000">
                    <a:lumMod val="25000"/>
                    <a:lumOff val="75000"/>
                  </a:sysClr>
                </a:solid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extLst>
                <c:ext xmlns:c15="http://schemas.microsoft.com/office/drawing/2012/chart" uri="{02D57815-91ED-43cb-92C2-25804820EDAC}">
                  <c15:fullRef>
                    <c15:sqref>Pivots!$F$66:$F$70</c15:sqref>
                  </c15:fullRef>
                </c:ext>
              </c:extLst>
              <c:f>Pivots!$F$66:$F$69</c:f>
              <c:strCache>
                <c:ptCount val="4"/>
                <c:pt idx="0">
                  <c:v>Unknown</c:v>
                </c:pt>
                <c:pt idx="1">
                  <c:v>Female</c:v>
                </c:pt>
                <c:pt idx="2">
                  <c:v>Male</c:v>
                </c:pt>
                <c:pt idx="3">
                  <c:v>Other</c:v>
                </c:pt>
              </c:strCache>
            </c:strRef>
          </c:cat>
          <c:val>
            <c:numRef>
              <c:extLst>
                <c:ext xmlns:c15="http://schemas.microsoft.com/office/drawing/2012/chart" uri="{02D57815-91ED-43cb-92C2-25804820EDAC}">
                  <c15:fullRef>
                    <c15:sqref>Pivots!$G$66:$G$70</c15:sqref>
                  </c15:fullRef>
                </c:ext>
              </c:extLst>
              <c:f>Pivots!$G$66:$G$69</c:f>
              <c:numCache>
                <c:formatCode>General</c:formatCode>
                <c:ptCount val="4"/>
                <c:pt idx="0">
                  <c:v>736</c:v>
                </c:pt>
                <c:pt idx="1">
                  <c:v>6272</c:v>
                </c:pt>
                <c:pt idx="2">
                  <c:v>4672</c:v>
                </c:pt>
                <c:pt idx="3">
                  <c:v>317</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F40C-4AE7-973C-A2A6A8611B2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[ecommerce-blank.xlsx]Pivots!pvtduration</c:name>
    <c:fmtId val="2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How</a:t>
            </a:r>
            <a:r>
              <a:rPr lang="en-US" baseline="0"/>
              <a:t> long we take to ship?</a:t>
            </a:r>
          </a:p>
        </c:rich>
      </c:tx>
      <c:layout>
        <c:manualLayout>
          <c:xMode val="edge"/>
          <c:yMode val="edge"/>
          <c:x val="0.24570524593628285"/>
          <c:y val="4.86234971414616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Pivots!$B$135</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Pivots!$A$136:$A$149</c:f>
              <c:strCache>
                <c:ptCount val="13"/>
                <c:pt idx="0">
                  <c:v>0</c:v>
                </c:pt>
                <c:pt idx="1">
                  <c:v>1</c:v>
                </c:pt>
                <c:pt idx="2">
                  <c:v>2</c:v>
                </c:pt>
                <c:pt idx="3">
                  <c:v>3</c:v>
                </c:pt>
                <c:pt idx="4">
                  <c:v>4</c:v>
                </c:pt>
                <c:pt idx="5">
                  <c:v>5</c:v>
                </c:pt>
                <c:pt idx="6">
                  <c:v>6</c:v>
                </c:pt>
                <c:pt idx="7">
                  <c:v>7</c:v>
                </c:pt>
                <c:pt idx="8">
                  <c:v>8</c:v>
                </c:pt>
                <c:pt idx="9">
                  <c:v>9</c:v>
                </c:pt>
                <c:pt idx="10">
                  <c:v>11</c:v>
                </c:pt>
                <c:pt idx="11">
                  <c:v>13</c:v>
                </c:pt>
                <c:pt idx="12">
                  <c:v>14</c:v>
                </c:pt>
              </c:strCache>
            </c:strRef>
          </c:cat>
          <c:val>
            <c:numRef>
              <c:f>Pivots!$B$136:$B$149</c:f>
              <c:numCache>
                <c:formatCode>General</c:formatCode>
                <c:ptCount val="13"/>
                <c:pt idx="0">
                  <c:v>25</c:v>
                </c:pt>
                <c:pt idx="1">
                  <c:v>99</c:v>
                </c:pt>
                <c:pt idx="2">
                  <c:v>80</c:v>
                </c:pt>
                <c:pt idx="3">
                  <c:v>40</c:v>
                </c:pt>
                <c:pt idx="4">
                  <c:v>23</c:v>
                </c:pt>
                <c:pt idx="5">
                  <c:v>9</c:v>
                </c:pt>
                <c:pt idx="6">
                  <c:v>3</c:v>
                </c:pt>
                <c:pt idx="7">
                  <c:v>5</c:v>
                </c:pt>
                <c:pt idx="8">
                  <c:v>1</c:v>
                </c:pt>
                <c:pt idx="9">
                  <c:v>2</c:v>
                </c:pt>
                <c:pt idx="10">
                  <c:v>1</c:v>
                </c:pt>
                <c:pt idx="11">
                  <c:v>2</c:v>
                </c:pt>
                <c:pt idx="12">
                  <c:v>1</c:v>
                </c:pt>
              </c:numCache>
            </c:numRef>
          </c:val>
          <c:extLst>
            <c:ext xmlns:c16="http://schemas.microsoft.com/office/drawing/2014/chart" uri="{C3380CC4-5D6E-409C-BE32-E72D297353CC}">
              <c16:uniqueId val="{00000000-4309-464E-9C99-C08799EF0625}"/>
            </c:ext>
          </c:extLst>
        </c:ser>
        <c:dLbls>
          <c:dLblPos val="outEnd"/>
          <c:showLegendKey val="0"/>
          <c:showVal val="1"/>
          <c:showCatName val="0"/>
          <c:showSerName val="0"/>
          <c:showPercent val="0"/>
          <c:showBubbleSize val="0"/>
        </c:dLbls>
        <c:gapWidth val="0"/>
        <c:axId val="412024528"/>
        <c:axId val="412025008"/>
      </c:barChart>
      <c:catAx>
        <c:axId val="4120245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025008"/>
        <c:crosses val="autoZero"/>
        <c:auto val="1"/>
        <c:lblAlgn val="ctr"/>
        <c:lblOffset val="100"/>
        <c:noMultiLvlLbl val="0"/>
      </c:catAx>
      <c:valAx>
        <c:axId val="412025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024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[ecommerce-blank.xlsx]Pivots!pvtrating</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How</a:t>
            </a:r>
            <a:r>
              <a:rPr lang="en-IN" b="1" baseline="0"/>
              <a:t> satisfied are our customers?</a:t>
            </a:r>
            <a:endParaRPr lang="en-IN" b="1"/>
          </a:p>
        </c:rich>
      </c:tx>
      <c:layout>
        <c:manualLayout>
          <c:xMode val="edge"/>
          <c:yMode val="edge"/>
          <c:x val="0.21982415192241672"/>
          <c:y val="3.42337757349725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Pivots!$B$154:$B$155</c:f>
              <c:strCache>
                <c:ptCount val="1"/>
                <c:pt idx="0">
                  <c:v>1</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Pivots!$A$156:$A$159</c:f>
              <c:strCache>
                <c:ptCount val="3"/>
                <c:pt idx="0">
                  <c:v>Jan</c:v>
                </c:pt>
                <c:pt idx="1">
                  <c:v>Feb</c:v>
                </c:pt>
                <c:pt idx="2">
                  <c:v>Mar</c:v>
                </c:pt>
              </c:strCache>
            </c:strRef>
          </c:cat>
          <c:val>
            <c:numRef>
              <c:f>Pivots!$B$156:$B$159</c:f>
              <c:numCache>
                <c:formatCode>General</c:formatCode>
                <c:ptCount val="3"/>
                <c:pt idx="2">
                  <c:v>1</c:v>
                </c:pt>
              </c:numCache>
            </c:numRef>
          </c:val>
          <c:extLst>
            <c:ext xmlns:c16="http://schemas.microsoft.com/office/drawing/2014/chart" uri="{C3380CC4-5D6E-409C-BE32-E72D297353CC}">
              <c16:uniqueId val="{00000000-CCBC-4481-BC62-9B66334E64ED}"/>
            </c:ext>
          </c:extLst>
        </c:ser>
        <c:ser>
          <c:idx val="1"/>
          <c:order val="1"/>
          <c:tx>
            <c:strRef>
              <c:f>Pivots!$C$154:$C$155</c:f>
              <c:strCache>
                <c:ptCount val="1"/>
                <c:pt idx="0">
                  <c:v>2</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Pivots!$A$156:$A$159</c:f>
              <c:strCache>
                <c:ptCount val="3"/>
                <c:pt idx="0">
                  <c:v>Jan</c:v>
                </c:pt>
                <c:pt idx="1">
                  <c:v>Feb</c:v>
                </c:pt>
                <c:pt idx="2">
                  <c:v>Mar</c:v>
                </c:pt>
              </c:strCache>
            </c:strRef>
          </c:cat>
          <c:val>
            <c:numRef>
              <c:f>Pivots!$C$156:$C$159</c:f>
              <c:numCache>
                <c:formatCode>General</c:formatCode>
                <c:ptCount val="3"/>
                <c:pt idx="0">
                  <c:v>5</c:v>
                </c:pt>
                <c:pt idx="1">
                  <c:v>11</c:v>
                </c:pt>
                <c:pt idx="2">
                  <c:v>4</c:v>
                </c:pt>
              </c:numCache>
            </c:numRef>
          </c:val>
          <c:extLst>
            <c:ext xmlns:c16="http://schemas.microsoft.com/office/drawing/2014/chart" uri="{C3380CC4-5D6E-409C-BE32-E72D297353CC}">
              <c16:uniqueId val="{00000001-CCBC-4481-BC62-9B66334E64ED}"/>
            </c:ext>
          </c:extLst>
        </c:ser>
        <c:ser>
          <c:idx val="2"/>
          <c:order val="2"/>
          <c:tx>
            <c:strRef>
              <c:f>Pivots!$D$154:$D$155</c:f>
              <c:strCache>
                <c:ptCount val="1"/>
                <c:pt idx="0">
                  <c:v>3</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Pivots!$A$156:$A$159</c:f>
              <c:strCache>
                <c:ptCount val="3"/>
                <c:pt idx="0">
                  <c:v>Jan</c:v>
                </c:pt>
                <c:pt idx="1">
                  <c:v>Feb</c:v>
                </c:pt>
                <c:pt idx="2">
                  <c:v>Mar</c:v>
                </c:pt>
              </c:strCache>
            </c:strRef>
          </c:cat>
          <c:val>
            <c:numRef>
              <c:f>Pivots!$D$156:$D$159</c:f>
              <c:numCache>
                <c:formatCode>General</c:formatCode>
                <c:ptCount val="3"/>
                <c:pt idx="0">
                  <c:v>23</c:v>
                </c:pt>
                <c:pt idx="1">
                  <c:v>20</c:v>
                </c:pt>
                <c:pt idx="2">
                  <c:v>15</c:v>
                </c:pt>
              </c:numCache>
            </c:numRef>
          </c:val>
          <c:extLst>
            <c:ext xmlns:c16="http://schemas.microsoft.com/office/drawing/2014/chart" uri="{C3380CC4-5D6E-409C-BE32-E72D297353CC}">
              <c16:uniqueId val="{00000002-CCBC-4481-BC62-9B66334E64ED}"/>
            </c:ext>
          </c:extLst>
        </c:ser>
        <c:ser>
          <c:idx val="3"/>
          <c:order val="3"/>
          <c:tx>
            <c:strRef>
              <c:f>Pivots!$E$154:$E$155</c:f>
              <c:strCache>
                <c:ptCount val="1"/>
                <c:pt idx="0">
                  <c:v>4</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Pivots!$A$156:$A$159</c:f>
              <c:strCache>
                <c:ptCount val="3"/>
                <c:pt idx="0">
                  <c:v>Jan</c:v>
                </c:pt>
                <c:pt idx="1">
                  <c:v>Feb</c:v>
                </c:pt>
                <c:pt idx="2">
                  <c:v>Mar</c:v>
                </c:pt>
              </c:strCache>
            </c:strRef>
          </c:cat>
          <c:val>
            <c:numRef>
              <c:f>Pivots!$E$156:$E$159</c:f>
              <c:numCache>
                <c:formatCode>General</c:formatCode>
                <c:ptCount val="3"/>
                <c:pt idx="0">
                  <c:v>41</c:v>
                </c:pt>
                <c:pt idx="1">
                  <c:v>38</c:v>
                </c:pt>
                <c:pt idx="2">
                  <c:v>36</c:v>
                </c:pt>
              </c:numCache>
            </c:numRef>
          </c:val>
          <c:extLst>
            <c:ext xmlns:c16="http://schemas.microsoft.com/office/drawing/2014/chart" uri="{C3380CC4-5D6E-409C-BE32-E72D297353CC}">
              <c16:uniqueId val="{00000003-12EB-406B-A2B1-C451D895CDFC}"/>
            </c:ext>
          </c:extLst>
        </c:ser>
        <c:ser>
          <c:idx val="4"/>
          <c:order val="4"/>
          <c:tx>
            <c:strRef>
              <c:f>Pivots!$F$154:$F$155</c:f>
              <c:strCache>
                <c:ptCount val="1"/>
                <c:pt idx="0">
                  <c:v>5</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Pivots!$A$156:$A$159</c:f>
              <c:strCache>
                <c:ptCount val="3"/>
                <c:pt idx="0">
                  <c:v>Jan</c:v>
                </c:pt>
                <c:pt idx="1">
                  <c:v>Feb</c:v>
                </c:pt>
                <c:pt idx="2">
                  <c:v>Mar</c:v>
                </c:pt>
              </c:strCache>
            </c:strRef>
          </c:cat>
          <c:val>
            <c:numRef>
              <c:f>Pivots!$F$156:$F$159</c:f>
              <c:numCache>
                <c:formatCode>General</c:formatCode>
                <c:ptCount val="3"/>
                <c:pt idx="0">
                  <c:v>34</c:v>
                </c:pt>
                <c:pt idx="1">
                  <c:v>26</c:v>
                </c:pt>
                <c:pt idx="2">
                  <c:v>37</c:v>
                </c:pt>
              </c:numCache>
            </c:numRef>
          </c:val>
          <c:extLst>
            <c:ext xmlns:c16="http://schemas.microsoft.com/office/drawing/2014/chart" uri="{C3380CC4-5D6E-409C-BE32-E72D297353CC}">
              <c16:uniqueId val="{00000007-12EB-406B-A2B1-C451D895CDFC}"/>
            </c:ext>
          </c:extLst>
        </c:ser>
        <c:dLbls>
          <c:dLblPos val="outEnd"/>
          <c:showLegendKey val="0"/>
          <c:showVal val="1"/>
          <c:showCatName val="0"/>
          <c:showSerName val="0"/>
          <c:showPercent val="0"/>
          <c:showBubbleSize val="0"/>
        </c:dLbls>
        <c:gapWidth val="219"/>
        <c:overlap val="-27"/>
        <c:axId val="1757058079"/>
        <c:axId val="1757041759"/>
      </c:barChart>
      <c:catAx>
        <c:axId val="175705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041759"/>
        <c:crosses val="autoZero"/>
        <c:auto val="1"/>
        <c:lblAlgn val="ctr"/>
        <c:lblOffset val="100"/>
        <c:noMultiLvlLbl val="0"/>
      </c:catAx>
      <c:valAx>
        <c:axId val="1757041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05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_xlchart.v5.5</cx:nf>
      </cx:strDim>
      <cx:numDim type="colorVal">
        <cx:f>_xlchart.v5.11</cx:f>
        <cx:nf>_xlchart.v5.9</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Where do our customers live?</a:t>
          </a:r>
        </a:p>
      </cx:txPr>
    </cx:title>
    <cx:plotArea>
      <cx:plotAreaRegion>
        <cx:series layoutId="regionMap" uniqueId="{1200C443-B058-488F-8F1A-00275C880308}">
          <cx:tx>
            <cx:txData>
              <cx:f>_xlchart.v5.9</cx:f>
              <cx:v>Sum of Quantity</cx:v>
            </cx:txData>
          </cx:tx>
          <cx:spPr>
            <a:ln>
              <a:solidFill>
                <a:sysClr val="windowText" lastClr="000000">
                  <a:lumMod val="25000"/>
                  <a:lumOff val="75000"/>
                </a:sysClr>
              </a:solidFill>
            </a:ln>
          </cx:spPr>
          <cx:dataId val="0"/>
          <cx:layoutPr>
            <cx:geography cultureLanguage="en-US" cultureRegion="IN" attribution="Powered by Bing">
              <cx:geoCache provider="{E9337A44-BEBE-4D9F-B70C-5C5E7DAFC167}">
                <cx:binary>7H1pc9u4svZfSeXzSw8AEgR46sypGlDU5k1esn5hKbZDghtIgPuvvy07k7FkOZGrjuut67rKVDK2
1ACIB+h+egH075v+XzfZ3Vq/6/OsMP+66f98H9d1+a8//jA38V2+Nke5vNHKqO/10Y3K/1Dfv8ub
uz9u9bqTRfQHQdj54yZe6/quf/+ff0Nr0Z06UTfrWqriornTw+WdabLa/OK9vW+9W9/msphIU2t5
U+M/3/vrTH5XupDr99vvkT/fH9/p4p2vmqIe3r+7K2pZD9dDeffn+61GyPt3f+z29WRc7zIYet3c
grBNj2xmO4g6Lrp/4ffvMlVEP962MPaOEOYetgn7u9uzdQ6Sh47nfjTr21t9Zww81P2/O9JbTwCz
8Ndvnv5mMwubWY8AgD/ffyhkfXf77qpe13fm/Ttp1P006cFXm0f8cHU/J39s4/aff+/8AmZp5zeP
oN2d0t+9tY3eb5C9Whf1+p2frTX8/V8HmB3ZtsM8G3Hv/sV3ACb4iHOOHerQbYBfOKz9OO9r5AC4
94m9MdRP17d3rwK4e+S5xKaE0f07mqAj5NoOd7C3DfjhI9qP9Y78ATDvSLwxhP/KQFHevs6e5sjh
hLv2w54G1byltAk5Iow4zAVz8GAqHnT2C0a0H+LdBg7AeFfkjYEMmurdKRge9SqqG3YpA91Nn4eZ
gOr2HLDaj3F+0aD2I/20iQOwfir0xtD2FRCPzY42G4v9X7fV/J5rebbNnrHV5AiD5qYMgxV/DPhL
x7Uf872tHAD7Xrk3hvwU+GvxGpvcPWI2dikFpv3w2tHlQMAZp/AH7/Czw0e0H+0d+QNw3pF4YwiL
pq7vXmFTe0cUk3sX65lNjY8ouF8Ykx0tfvCA9uO7LX4AvNsCbwzdY/DkzSug6x6BZwxcy/lho4FT
b1Ex2L4uvAfg7vrPhw5oP7rbz3MAutsCbwzdeZN/U9lt/d8H2EGgfl3sOMTdQZY4R9jF4FeTH571
tkl+yZD2Q/ykhQNQfiLzxoC+lO2dNvL2NRS1feRxRG37RyQMPQmFQSiFMQQ7ecdxftGg9mP9tIkD
wH4q9MbQXuTlnZbr7L+/rW1yxDzCqWPjhyiJvbO7MT2iwMooZg/LYcc2v2Rk+xF/0sIBgD+ReWN4
n6zT19jYEMIGnBmCIOj9C6IiWzYawiUeptjlDHT8Y7fq0PHsR3hL+gB0tz7/xpC9UoXKX8dldmzP
9Rhh+/cxYMswdR2IpGxje/iI9qO7I38AvjsSbwzhE2Xe/VVEd9nda9Bs5whRQmz+N83ezWJgfkSc
TaIDtvnmtaOuXzi4/Yjva+QA2PeJvTHsT9davkZykh15zKGQyPgR595FHTY3tTF3mbcTDzt4QPuR
3hY/AONtgbeG7l1xq27kq0S/vCMIX3seYz9o2C7nJvYRQcy1bW/HfT59yaCeQflJE4cg/UTozaGt
byCb7v/Xg9vgPSHXc7n7XCIaHTkce6DBnX0q/PTu0HE9h/aW/EFQb0m8NZwhlXGn74ZXQNo9cpnL
mI2e42T4yAVK5tq7+cnTF4zpGZR3WzgE512Z/wVI/3qIWw+9qT7562/uu6dk6KUVQ+yIQLja9bB3
v02fhkkg4omBj2MoMLh//d33Qw76cY3Tg6+1b0z70X0su/WMD4/460n5X1cXdN1ASdBr+MMQs7YR
Jgg9jyDxNkVBFKIij/3hw0e0H78d+T0Qbv0Kqt52JN4Ywmfr8nV8YgIOsQM5h4cduhvb2pSHcA+K
/vhOfcih49mP7pb0FpD7a/q2Pv/GkIVixEKabN28hjPMIKWEmE3d5+JZ+AihjTvMdtyil41qP8p7
2jgA6z1Sbwzxs7t2/SrFXt4RcQnjNvpRz/dkNwPa2IP6TW8nenn4iPYjvSN/AMo7Em8M4XO9hvjW
K/BlG3IR2OHc3bjC8NoNc2B2xKmNPHc3rHX4iPYjvCN/AMI7Em8M4VW2vrnTr4AwP+LePcY/GNe+
Pcw2uSjysAJ2EoyHj2s/zjvyB+C8I/HGcL6K1+Y1CvigWIAy8Gu5/cPz3ZNpsjlGnG+qCR4z68NH
tB/hHfkDEN6ReGsIr280VF8X9WuU7HFA2fWgEBM97NYn5df4CGpy4Q9UfW1eO8mIqxeN7Rm8n7Zx
COZPpd4c7sU7ASel1vr2dQLWUPSDOOQcwIO+f+1qcrDVBFwr0PY7GxzqxF82sOeA39vOQeDvlXyD
C2AKRO1Gmhv1NwR7IkygmV92UI5BHRhCDMIiP030bhGBAycFKbf3IP9zRIdwi+eBf9rMgbg/FXyD
sE/kXfQa6v6+goBRKBfaqRuBvY7B2IMy+FH8+fd6e4h0bk5DHDym50HfbuJAwLeF3iDYS7WumtdK
OkPK2SGwm/dqeDgwSTwo+PW8B4f8iXUv3r1gcM/jvtvIgcjvir097IG5i7X+9jrHZZ0jwH1TUfD8
cQzX47aDbffBDjzZ8y8b3rP472nmsBWwR/CtrQGVrV+lGgGKiCgEYjapy/vXk2oEApWEHqfI2XXf
Dh7RM3hvyx8C9LbEG0P4GuqJ4IKDQ9jSy2jcppwfDmyAgv+xfZ/4blALCpkR2N47ev0FQ9qP8W4D
B4C8K/LGUP6istfgaxzKDxi43wgOzG1TdHwEbzAMxza2tfahA9kP7Jb0Aahuff6NQfoRQi7Nq1xr
4EDOEjxv9NzZWDhoRTyIoLpoJ+n1giHtx3e3gQMg3hX5/4Hy87eZ/LwQZrKu18H9VTKPLjT59bv3
UwT33+yI/ghm7ne0HwKdi9s/30NC2gbWDNvvp/O9aWgrFPpXvr5V+u8Nui11B3HbP99bULtwhCDD
TSh3CJziwGCOu7sfb0E6jEAQFpLbyMYEdEChdB3DVTf8CI4AIKh82Gh3OEIN68So5sdbcKqHQlIV
IjcukD/2856flcqGSBU/J+XHz++KJl8pWdQGGibo/bvy4XOb4VJEGRSyIShqhCIYOLy7YQvlzfpy
c+IP5uD/qZKOKR1Cc44y+zpV5ooYepw75iLty0R0rRMvIyS6HDvzZBiSSZ6m4TRs3c6v+yYUqCor
wYaumajBukTOOPpxybDonNoVZsQXNaqIcDxoq2AqDrKkxAsv0kSUcXalWZGIsVBcYNWfWhVSIi+S
0u/G1vKtnoYTVrMkyFpiCV131Rkq8muo56KnrB2Lk4SQWiiXVCIKTRSQjM0c40WCt6rz3TiOxKiL
67jg9iSz8lIgbRZVSachr6PApJgI5uR3YxV/1CizREboXNnWlTWmWISVOR3HsRUjjb5BhVEiKtoM
vlZdUOhFgk9wZN+2cBOT7ddeNFcqjCZd2xBRjU0CM5JmkyLr0wkZTRmUQ7LuRlWKvta3Td0tcV12
wkPwQLoNF0bz1WCxUgxFYI0nTY2XvcO/0sRdKJQ4whsomniMnuhIr2Te98JpeSlUj89TV2ciQk2A
OQJIbGZEHUVmwbSDhAnzSxJ1zoVnxTc9KS5MwZvjMLMzX+IYT0mliDCsxVPb1U1QhqoOslQnkzDt
sNCInxAZL4ZGOoLqeJLw4rJPTSLQ2OCgsnPmczMMwvXyPnARq4KoqturqEa2H2LvU2SpRChZziqU
LE3Krh1vXGMrKmb5kIoa1UHSxt5EkTgVpa1jUTrlvEMt8d26WsIpGQP4VTPPzhM/DXGBVqVTF1c8
rKBjbUSZqvPR0TdSdWpBWmsFC3ztKamETqJiGaf4s67aUx17zcTiTjKRnX3Xd81dy4Zhauq+FJXh
4Zz19FsOW1QoGIqfSjedyq65oiQyxzlHyzZJvpSjdzxWePSpimeqs06qYSiFQRxN6yjEQqVhJ7Qx
Z3UywvZpr+Mo/FbFjM8L2+tFYuVX4WjHoifNp8pmi7SqozmnaikHlQk1uPmUm2LhRvSDjlG8bOvC
FWkyXkGb3UnV0tbvPaWCOnK1X8hRilYX6RR7G/B6e/CRG7oTHDqfjEq0345NI4wpiqUhTe/3FmMi
HmQlMpPV/tgb9TlCYTQv4livEpd6orOrSV8MeMqb/CMnYyKiOp72bYKFIUoCQGURhFnSBEamEnZ7
TRZGqlioxI0nmjQLNHK0qHi8YDjMZi6MRVSuPQhQi7XguVmZpB6Fqoq5U1fzxHIniRprkSR14peZ
hWGnObVvIdKLwYnZxIvMpHZwIRj8j+XQVRJ5Qpn2A+6TY6qbpbKHM8/RVy1rGzGafBZbYSqKPBxF
keKztm8+SEULkQ3xKneaizTqPvK0PzX5+NmEDhNpW4PCUclHtyVLp0fzwZjrmrtIVE2BBFLKFl7W
n6SmChjSapoP3Aii+9NQ2xdpMWRB3+GAkXJJmqYQg2m+OzT8KiN87qjkzGrLVZWwyuet+RaGtBdN
On7OYmMLp+I8KJL8q8kZEeEQxqIm5bWKnePeKlXQZrBq6tAb0o92k9C5dNzCnoG/R4JY9UuPSjW5
t1w/TOuWbbhR5aBlFP+4Bu7nj/+5Vjn8d3+52D+/3Nwi989Pszu1CRma3Q9t+vn5qX8uKNuYzJ+3
le0Y4oer6J6x0r9882Um/HH8/IkJv79JYI8FB6GfFhzMNIMq0g2jI4S4jy04eNkbwwk5FGa79ibs
+sOEg/cGxhuOe3kPZtqFUPvfJnxD/yjcm0IoteE0gee8yIR7QEl2TDgwBBdC/uAtOg7Uu26b8Lbs
DS2i2D43vYNgc7eLbnCqCU5sW2i3miqbNGA+h0+MjPbERM6NtvlJDWtrQlGYT5M+dGa1jo/rTiFR
oOLUSpAWfCybSW/as167ZuJ4Gu6yU823wSu+xDIKhjy7TJ1kVgz1ktjksirBxifV0AivJEZoTE6K
PKUistgHk3rKz7y8no9d+GFUyScaxQz07dj7bp+f08g+x50beJVasqxapHS0F2Mbar9JCffbuJ9F
6RgQXn53yviy6SK6LKJwBsv8G5eD8Mz4sTe5EinJibBJmgrXyYuJXYY+6lXjszL+2OHma9q3jh+n
8Zw0qhClYVrksa1FDfrWl6V9lubVMksdW3Raf6/aGIveUqAxM34ucw3MJKrOE9qWyz6v02kjweqz
XKUijXXkeygKz4yr0ARMzuiKyhm/c9KmZ63DbkYJk1uGeXxBwgGJ2Oi7uEbeaaKyBfUsUAKkHGZx
Yfi5kX0eMNYBak3sCB3VkZ/mfSfArMUCVLI7k20fCVe3dO70LLpAkY1nY5lEoopkBiTKjoTddUrI
3I4CNGTJ3Lb7LLCkJLMkzkbfHh1huz2FJaDUPA9DPMH9gGaZY+TUQWU4dTo7C3Rek1mt7Dwo7OQE
F9XxWCfnaYEX9RCNE5nz7+GYuCJhuRNYRtqToRmSAIdsmKVNlAUoiTlMBB4CpitvViduJJJeNzOP
mFbkkS4nSGJ5WXSMz5qSxgE4TskcoTCctG1mC2Pb1kUGVWUiH+FJq951hXSRO+WRVfvJ0HExqKgM
rLzBIk1TuaRgMmcRia8HYlZNg4ogtvggVF3CxQzGCBm7VAyV5yxLD1RxhAcphnEzRZIUXztDkw9F
LMHuxV4xH5oiFKSPlMjCAp9TDqwyLsdQSJh3YWurmfOOSRF3DpBg1sjbNJdMoISFQRvl1hzVybSh
WRCGBVjZ3C1F7hVa2I6dCyAljbCSjk90mWe+2ybuxYj7i6RvLt0uTwNDEiz9jGRnKZwMmNO0+l4X
47cat/G0LnEjMi/TpxL3tm/37iTTlbtwhy48cS3WznhYOJfEaj5KT9XWBNVNH85i0mMsZFPedDAq
NlqpCOMkE4bH1cySwzW2Ojzt48j1Uesti5y4QdcNWHhts8gaM4iSAcuvsyiQRWEtLQfNpW1/aMG8
+yaKr/MqWbKkWHXM+JbFTg39GjJy3Ci3/Qy0+K5z65PesSxRaJxMeNd0J41hxdzz6kRILVMRpeiE
QG9xGR+3rfO9Sjnx8Zidog5h0Xrs48gLR8hk5KI2+a1hJhJhni9UMlxA/uukoTL3VdzakyLnapZK
3Iq+jemkH1QvWglsSMPHC0NKnxmbTocBIMRVft5Y0VXWh1+Rar6UDqgHjsp2wlJ9LDu87lPXBcfB
jvzWqGiKGzzD0hZV6uigTQz4EyPOgWO1p4Z3nxoXaDuznJXXMy5UzooFpxQ+WaMEmEDW+mWtjpsE
zTPeFn7rhNMEqepcevUgkixBwuq9Sd3DdU+hmwraykkYE/dLGjY5DVTRnxakvlEOWxQN/ZyFOV3I
HItEj9963GrRqH4OD51NY4IakeNxkrnsLE5Ay3jKAh7T+alnKdEqPLcqdz501SQhMhGW7C7AqTzJ
iAEmL7NvNffmrLDPcFTOLKeaRV08AUz9PsPwM13HXErfyOa7kWyVVV0dtGpY1LkTBw3LfMtJL8I8
tMAWNH5mD8dxnV3knjXBMr7O0iiI3WLOmqyYNLm8zmTtN8TVoggNE/kwzkOOT2Tmc2R6YTzig5d7
FzbFIMCOWcPMcGI4+EVp5kducYmk1sH/cSO0CW9s7nF6Przx8+DiU350fwHU3xEOcsQJtqFSDMgH
VOtDmz8jHHAYGqIe2AMqhBwo9X/Mj6DwG8FutF0Kd07ZWyEOBrUJmwqGTVDkb4K4RWEhrPPj58fh
DepCK4+4EaQ/4JYUYEUcLsahm7JGqIF5HN5gWR3xnETWObYyv6kl9iFGcRd2oMVTmrmisdGU4mSq
hyjPZkiW+tLTuXVBWGuBDWWqYJdR5OVceHiwJ43B+lPIJRtuqMVr4cZhLggZnFlSgS9hCB9nkQG7
ayDoOwPKpkWvOz7ra9kHbWl5U+BFn4syRTdRleV+RfpyqmKWTTq48ku0UeuKWsFnbVY5oCOI/gq0
CgsSZXwyxi1ddgVbJokGgmLrBY2B7pjGmjWk+Zb34MK2FfjRmVcQiGa0AeyOUwgZeSJnNIg9pz3j
BRpFDv5x4EEEc6aHIYaoQwlEMe0hlsLBpA1eGvCIjIKEugxGu5uQujerxBS2ALKXfWk5Ha4w/iSB
KghjpWeyiuIJMOGLZKwLoF/4dECJEryT550sb4zspi4fIuHUGXiCLe0CxvtxVrNOLgtmUUFt2S/S
waDA0MpOhQ51J3iPwA8qOREAi3XuVED0KLiACdARv5bOsnIMBR9O9RcjT9isMKBm+hadqzKO515q
RX5oIRBKx1FOLWtShMq3iywFl7NTcx3GmRgJK7ygh2jLxHBmaZHE8ciEV5ThFYVuZ+D7lyiAhV0s
Ct22s9wouQxdi59KpwN1VHvhaeqCcHGKqya8wE38JYspFXHhriOdU9GZjARwsvhLiiHqFNbld+Tl
uV9b0UkWxsABkuE8Q6ny4yH/Ho90UtlRfT7kzuDnkCHwHc1T3yvSSFitu9BtxZaElthvk+EKdDnA
lOczJ4a/PM193NOGC2foiLex8R0MoCZNKIVuO+KctrS0loPNfKzszF5RaoAqazREyIie2j4xaTQp
k6w+AbKGJg0stHMIprlTXdHq2HWUmlhKzZTuiEj42MzsOPuatWxSox77g9WbZdfntsjaCE+pE/Kz
FBwMK/duiWVO3CS/UE3zIbTsU1My8EqIVZ4NQDoWoO8h4qDGuUU74K81za5REoYB53e11R/LjB1L
h50MsfIClsSzqh8CV41TeOZzPhQnNM+/QtDwmGJ5ksc88mVDw9OCl2YClMueNnF0FQ99tKjibKGT
dp5WABKP2bLsNhYP6JogKV9HTQc70JXnfauAMxSeFlbd5j73Kh+72cKracA11HNqLjqVYl/x7y6T
oFryqR7ZtEwroE1GTSOCLkvTTeIyWbDWOfa63u8wGPa4prHo+uwDz9A5cZoPbouAnYKH5J6Hnucu
Qz5+Lyt8ScdmwRo+sfM8cGtgeCjuj6mV+knbrmPXngH9D0wUlSKhfGXS4pIrcuulsIfzzL4D/+7S
sYAU5lV5OlTj1EodvwSM86SRvoNrEeUtBIpQCcw2vxmH4brbrEecJgtwO1aj6s9zngqWRIuwV3Nw
c3xQpKmfUXSRF/3ZUA0+GYdFEW7Ca1rEozUbm3QOtxT5eZnMXdNPLYp60ETyxuVg+a1ybjWen8Ys
GEp1XpQIYiBIzXBNwHVsohWps4lso3mP+CRX1knbDtMhk1BeQ8SQ9n4FW4Q4xA81BocU+WGd3ens
ToXNZV8zWJEQwkHgHnTFZ1qxiQF3F3LokFbQvhOSc9fhV6Z2p04Lbk/UXzq9d50lI5l4WWaE6tAs
d7TvhR6sQGArlKEp9/LvQyXPQMNNhyrzTcwnLu89EZl4YeNh3o/6M8L1cqT8ynXLzzw2l1E7XDT5
bQF34lcIxX7WY8FsOZVuOTXhMEkjJ4jR4Ed2fAFxz1PV2pckzL9jqwZWBoGnjokSobnltXNurCmC
UHlC1UlN8QcNI2WhZ4RLyyC02mODmilsxTPj8Sm2zdIOB+gQYrElTFhfmImqwkLApXE3XaM+Q1PO
tA/BTTMOcN8kriYs7vyh6NamMH7BreOsVovRYoEaGDibOp3GFhiJuAwr34shcNu4bEbq9lPeFF/r
KhRDyRaMsaCMndBXtZ4XnC5QD974SL0ZTtrPnUaflE4ulYVnodNPZdjA3HlBBC4NqymsTjaDCOdF
obLjcgQmbDVXmWRz3ofnoT0uCidftiE+jZXkomjkNM+GVRmiBWwwUXb8ItHeiY37L6WbTQaNGh/O
jH4ItXthtDkvDL1sekhicGyuGkonbQm+vx4bUdDsJKPRMuMVpDiy6FRvFNWowE2pj4mms7KMYWd3
fmJ3vuk2pKc4Dsvigy6HJSbq2CJOfG6FKPwWDTK7Msbp/ZHUS42QGLvObyFGYFnJLThTH5I6ZwvS
1VJ4rP7iUDDqTgoh0CgA9+TWzcEfqqvPqY4XwNrOQd/KAOl0hjtzTEcJ+zJjqT8i/CWmppx6dnqd
6zoTVZ/OUhuvkpQnQeqVolCdPSWczcPU9Tti5YEcFfgr2mdRF/l4IJM0SwIaF6s+cmdJ2C8h7ntb
WuBCm2RdaypKsH+wA0wmkpYFTRMFOrYKSMjUIq0bPwfKPunBN24tftu2dGokmkUtm0rUB4UqQf+Y
pBdRP077vDge6uhY1/RaUXDtdF36halELVPfijtrWRAH1noG+3SEmJFaZFZ9OlrdF6PLm4brIEqM
54dZf9o6jfZzBObvEaXdxxH3MERIvrlwpoVBIRXdJMgeJcBqCPRoqN6zzlE+l0kKkfxLCxISv+4E
eO4TGgpX52KMbAeo7eZIxeNOpJUjlzrYOu/5N93NuuZLr75H9iRv49/0tI/wPu5pM5JHj6NCNeAx
hJ4IP4udjbOOg3FcKPdj0nyVyvV//WCQo3z6YLCbNkWIGN+fFXncHeGq4WGmolVrfa2b4yq6KbKb
X3ex74mALQNZhm7sJ+HN0GU98oYyXkHoLulmzTAEWSwhdDSTkKUg9dmvu9vzRHAbADgtkHh1CBTN
bk9gW7iGDKiWK0iRCmlXoolmZfqbZ4ILvXanbauTzfuPUDKhVVM3hE4SDcFHfZJ48UM4/+GbQQ5b
1ls9bB7zUQ9tPdaQIYIedHnqdqWfquuQyd90AjHsXz7GzrIu0yEt29zIVW/ZIqa+J1eONKDgvlDp
u+acNOY3Pe5Dh0DhBNRFuR6cKoYw/ePHSiWHr6mBmNiKVRcViiBxtGDh95evALhZ04XTUbAOMN+Z
upDalstbnawKEwe5O2GF8rvsw6872Td1cPTK21zraDPIB2w/iOpixqTsE8DnS+GexOApQjZUeOFV
0hw7bSW68OLXPW7W1D+Z/ntXGFTcPz3ugAXBTE+XeEhWqLdEaz7ZQKB+3cPmmu9HXUCtIdQ3MAdT
OFbiuLBfd5SPUQ7E1nucr5ITvagXYDxPlU8DehFfUr8I5JT71vTXfW53+fSpdrqMW5T3ddkmq9aF
1FwkBfFAKaj5r3vZP3dwfR8Cy7m5bHMbLXfELqtzlKzCyvMJPua8/s3cbWZ/F53NNQh8U58PVZ07
C7s0ROLBWMmKges7cAJs86t0IhElyW+eZd+MPe5pR8GBR6w0XCWarDC9i/kFDa+q8TfqbX8X1CVw
RxLspM1dlY93qcRpy50xSldFcU6bXvSSCNK4vzF1+7YQLLafvexAn+o2hiQE9CLTm8yah7YVaGdK
08ZP65WVzjL6G4yePBZB8B0XyEGQs4PvsnB2qALxQlbmTGWrup1V+iskrKrx8oULbaeLTa7vkdou
2ggmNK6yVTcWAmolJkNCfzNtT9byfRf3Bz+B8ECcbbuLpO9zKwNPa2WyG2tcuJ38TQdPljJ0AMVO
FPYJBN6g8Gm7A1CdrMPFmK+A5+UN9eNkIRMgpt7d/Vz9X8Z6c//681HZR5c0Po3L3l/d/iMuC2d+
4D53SAnbBL44DZbuP3FZuIMSVDSwtoesNSY/47K2A8FcIKhwdgzZUMVIH+WtNxcRc+wiCgoeasWg
lO0lsVlYBf8oPAppczijBi403FMNx5XYpgL28UpPOIMcSeElZ00ejJRBEmrmVJ8eTczqobXH8V+y
uSXmSS/wBVNw9SIwVDj8tKMjKsheZHSkyVmtEplNFEeQQfX0wP0Q0sRBYoNfpAaCT1jEC78p48TP
xvC4zUhyicr4IpN8RmgsTzqEmgnCFvUxbzKRYYl8FMWLjuSLpo1PZevNywafoLG7MAM5rUZ13EP0
TOpoiZJ0EHkbQeYTVd6UDVkswoYOQhLvFvdxJ9w0hzfrFIIlWfNd0l4LU7iQ9NFh43kiBPmeWZ4Y
ehy6y84a81nY9RB2syAfl3gECouaUVXgnhXI18T5GMIthTOWUfsryS0jLChtmEmUxm4QN1WZgXNf
pZ+UwsNk4Cka5pFXhskC2wWEUVqbn7mDGfoZa9JE9C6PoTrFLm3+cSQVZBkrks20Nbp0hlXXj5Vf
wlWnUObS0LweoCawp9Y5r4h1Cu2XE6gSEqnVN8fKKmZcOXLiNqEWXkyyiWZczu3MSZdNX7l8Bf0Z
+ysdImaOyaBaNYkG+1IxTftVjEGJVNHgHXvaZcs2aqIvCK7D/9QyiObzbBivoDyscRZcpVT7hNBu
nPO4DSGR2Rnvg1LcFm7hgJ/bIGdCyv5/2DvTHbtxbEu/Sr+ACqRm/WmgNZz5nJgn/xEcDluiJFKi
SImSnv4uOduV4XBVGgnc+6PQnUAmMuGMOIMoau+1v7UIZWaoTSKLYt6PtjdeomEIMo3v/CTyRX1W
ZXGc5rHA1w4VOpJsb9kcvA8lLC6a0dwu43CoMF3PopZGt8WMpl5XJUvDOSo3bcdJMtVuivlaGkj2
FHJvPOHSjakv2ZL1WtipskEbTc3EDv4ylFmgZ+jiuqGJiHL3osrRHjGqVlvfGXfGFUFaTra6KTAT
gLjPz0w057FXYsN7duO23j4sB+B7frMDEFqnhUOuVWTuNA3Gh2Kcwm8t9DhV1alvJv9by4bU4yqt
c0nviTVsCl9vLLuts8jimxqsUzVBTVR+96aU/ioYMvqq+VFWVto74yGa+AYbCCDKZQt66jyHY+pE
eof68LSAFyz68ZV4w1lya9OAk3J6GffD/EUMC6TeLzkZaGr8xtliko434Y0vns9em8V3M1/V6qBH
A9HbLCdAHXunsM8+gBQz1C8dLp/SDgjLMMjAokJsDXcDWV6mXGUFzwFhEhk7OaRRqgTZV5jwpHQu
Uy8IrvEZbz3QWunEliJlfa4SdyTsXLp+nZS5faNxMOfZSH0s7AmLWdNtIycS1znm/SGfjxFuItIG
KDT7dArDU9g5J3dqn6xFJ7UX3A12cSNkdwrw36Mdnfgw3pQROzR2l9l5xbKimGJ7BmNalWjMhr5t
k6Inl9qqP0FR/tTV/MBUfWyb8FAN9GYxNG1skbZNc/bcKpGNnI9LEOw6i5WQsOcvsg52Q+SlqO8B
IgAPnRdzCFtos3IBAqjD9o3PeRBbpYA+VmDO6k1OvZVRt80VtW6X2ZK/Kcup83Ox9H1/twke/h4Y
SPzpxy6qnClXs9+wSytre+XZQICMQI44H5uT5hgrBWO+KdqSI0p++Uo7qW6krMl9uIQgIqfpduir
E5nytI6CJzLprSz9b6KuMKDoMOEtqpzE/kw27bJqzDlL2txTiYEWCrputNMg1LuxbV/7YBkSVqlH
OyhlNlLtJBTzlrgRiZGJmva0qwOwdgJaZb+13fG6sdstuLy3ueF3Q1Adhrw+Lqo5QIY+BV17CpUN
ksXMbapmtrMndL5qRMObW+2mBBJV4NtJFVG37jzQpCv9Aykj3NdOQU65hvJe9dNDxUaQvf4gsRbs
K5dB95S+PycTq89jt1xKVe1r4209SIYpAxSVizqKIYlB+giLjaWh4RXdqYGKHwfCvmKNOTYDRxls
9zHe5YLnmtoABr2qq+YWCFsRj2JsUl9YLHE6Euc9YGJHjSlfIuihffXgAhuDbMc+Axg/shGLacIC
DftlU9fyrZZkSzsMlFz6UvE55Y6f+JG7M9iHHNW+tVFwIpKMcRFZbzn1l7gDme0PmJLVDad7q1v3
Mn1igf9sk2ZDyDzGoVW/zNymSaXmOnPL4spZPJqK0max21Xhzsa44rF1HHNkTPbnpjV8/9dFws/1
8PeF6kNdQqUaRkjt/ti0Vktvpn7k7JIPLHWqA1jW3xTEHxoVhGsE4PidEIIFopPCj0Nox1+EF0ZF
cWl8jJr8KzawHetue4OpRw8WG4xeVGV//angM/ip9MEH+fCq6+d+10oMXa0717GsM5nF3ZpYHs/4
FzwVnwsXtQf0gCrRoffk585+HESdjBMAnEaYNiE2axPRL8+tFZyYBlWoeLlpIkNfw9INUnTCD37I
TVrU8zFo3Bc/r6cDbRx/wGoSbTYsgcjCzgKF2I1hEoh53g9T4Ly2otIbd+FOxhj70mCtZpIAIMYO
PKcrepuMQ3Q3uM2yxX74MBSjveeFc13O+q0Koh0eSveq7ze+Mmj3PTBbpLSyiqBCaYwQ23kZSCK5
76a9wZwtYNOtXYpUMDYmGKz6sRfNRyz6b1JhhKk6tu9dC+SLez8t1ZNL6oOn2x7TcBRrLAcoX2km
sIi9fb1URxuEjJhzO3UaKPxOXmOXJU8j5qeAkfg5BKcoepON+YIVTLJaFzwpnS5tKwAE3VKB82ry
cyfDpPCCHW39JQmL6a70KxRwnXU/6LqLHUeD4gz01upW2X9oP/uFPPeE38iOJ72GCq/oAfMSqDie
Ay4nxI5I6YOYy92UT1M69sOl8/GMrDpv3/fuV4w3BnA84PA8d1t07ikwzW9a4/VA1neF9q+rbS3E
360246LEsBestuokrouLtZFH+Wi2y97b+acQj57ki21i70DPQOyOf73WV8z2X7x44ED4tpHmGq1v
7t2L064MRR261rlLvVic7KTbQHWgR+sp2JCMPFxZyelpzCoVj5/xj+Yyn0h8YJv84mDQ8Zt38/OD
749vwgH1Ap3fRxv1caAwE8MhlVflpYRhwWliRp768Tcazs971q+v8UEmWHo+WGXZlHi4fi36XTT/
Riv8l58BWmEQhC7spR/VKD75C9AJzD1b61piBt57qDn/2KH+H2vf37fgHrS7dyv3F9b8fSbwn0az
P37qB2xOkdqznh1BsJI9VE34he9gKhhFCYRpuP6RwoeL/gM2B4ZOgTjhqF0sfoiIuEF+wObruQP4
hRifhMj6Wumsv9G003Vhve/avciHSIlkdAgKDmY+68J5d6fpxWk7OQzTRRgnykYQA/AhORVGk3Vg
xhvf8uZDNY2izgip9Ytu3fGhdtUkAe6J37X3q7jx8d3ABWdjuuyuhwyvXtn378bFhL2OymG82FLQ
CxBxsLpD0PplMsHaEcWjcYeXANwV+BceapnICjt7jN4ucIF0BOIt0ppc4XeUQ2o3DX1YgHXR7ex7
+Vc6W3T6TVls/3zjwm4XYawQIFd+dQCQ8PtD+93357KgxLWd9cWZvKJI/WlpHkb4+J2NDubWi0d0
+DAqBXkYL4G/gsk1Onc+9jNN+7HVb+WkFE2Y1XlogRgYFc1L1FzokMFRFm1VXtdDdOAqKlUaIFb5
UZXyWDfGmzKmLP/M+nLk23er+PpXmeXXy4DhKYGMg1OcMTD7/qHffahgtgpjdY26CDhWHtsCWF/s
1jaWRieG6RrlVXTX5bR5/uuX/XmTWgs32BbDAEMarEX844O2A7SkcDtViIsIF3qhdTlcBOQcFubl
41+/0s/Plz9eCdI/PJc4Xw/S14d11gl3XgDWtZcQrednadq+2eY6nO247sqMyGEF6skctiAFPMN/
t2h+ruS+V6hrK4WYXEw/sTt8eHlMC1hZCFSogay9zyiIvc91s74Hb+Eq89FAxjPBpd8asLdofus2
+KqbSO1NNLunyXd6kjimaoEOBYI/OH1nO2kZzvPXDhallECTCBIvat1+56FY/V35+8tYaL1K67aB
HBKc9A2/+8+3KUH5JDwvt850yPln1mvg2tSCVgULAmrS4mBKVr8WYdSdoCaVG791J4Yxyxh802DN
22QuC4BwbTV+Zb0TvIFiA7j115cYY/gPm0kACBWLaA1bAI7nBR/mIn4fMtKX2jlXruzyKEx1VC4g
Nycn2uhxGJJ+kuRm5LM3xGVZBklPxVbZfQfPRGcndSP5bdd4fIqDxhRPpuLtflagOjtPdg9QNMI0
lyJPhraqWMy0U5k4B1V5MZ2lrqS1OFAGKKZX1pILnthjyXeer5tbuyqui1k46HKHQF50Lu81VD0n
hW0NXySDfJn27rAsAIfC6gT8MHyBuOIeSh/g9FJMY5QYUrpA4psZGlbYzzw2c7ik1HhWulTTl05J
fTcQC8SP4TrY5EoOeyBT9r0sqam3eWBRFi9lnb/i5LJ+jJmQ1qeBBxzNuLL3cCd0eyqj5g1tIywO
ncPrOxblE9RE6RYHAJ1DMuN72FJQwlfSwDHqml5uKAWqnjU4RhpMvSlCCcmkzDOunD4duuiqzK2C
pJS2eodHjW0SQeA2CXXQPE+clKB0ou7Oc7S3HaLKsjfK58vn0G/7TJGpWjYjcLiNNU3ks60a800V
XeetiA6AeFHYY7FBzwMq1BiTzcU4hJu+zcu00Q7fCfyvaNDdvsUXzUfgZaqqrCTIQWcFrTdBZtBN
njjaEnzb+3VWuMNMboxD3ZQpOIrBmbpSbxxtIrWdnGA6+UBRm/xmgLrEeQxkaBb9Wwmo315elLGm
gK/iNLby9os980rDmTToYejIRdeao8WKmFy2YzTofA/FjwH9s5v2jgSWs69mxxmSAdcASJYksA8u
JQ9DUK85noe6qY3M/NoU0IcbTfOrEn1X0O7qOQDMP09NpE8+RDWsKJO3VJlkwLNw41tllV+NuHX8
IpFhBzmQOrXiG9GwPoobiYdXnk0j8xMrR1ARjDU5ES5OJYcfI4ENyuQb0wQNz1SOqmADoxpH07N4
2DGFXbugicreajCPngt1rQDK8KwtWPjNGsaAkZS0tt4yNxzCi2flRX4QDizhXpWIScll3imC3a3M
OtjJeJarcUErDT2UARv0+bwjSvEu8WxAhEkweTN0a1S1VoLLaj9ZHV9oikM2a57ib2JdwXMBsXzQ
QjxVnEd87/SRbrK61P7tMmjH2VRWi/FvaUo4VuKgtEu9zfuxE+AKmXOoisWGK6zDO8haOGSWLKTT
EiVgfDtz5uGMpW3hVunTnNLh0Due16RF7hRwDokRl5MFAHBjsVTO8rWpcZpcGuIN8NSZeSn30J3d
XcECgF2wuEknZS3L0wXylAedtO+i6yo3lZs4TFagvLtqsY4kB/BHu7yATltGQZdBB13aPfxNBuRZ
5GL4sP5/MY1YhAGILByZTIZZS6wnZn3qxQxjf8xwH9kXunx3Hoejazn3c2Ps4eJ3EWQwEUl99gaB
R1Khgho/EHEH31bOSipeFtqI8gB2s5k2ygBmO4KE1vduZXufvQnGEJB5WLybQUAhyJS/MLz5gVY8
bRxZqyQ0eQaLmHxpjEFlURXVeKc837x2fensxsAU4IRrmB1iEeb4PV7TVtMGuDa9LFPnuDcK4OQ9
1bAWx8a3VJhoOgfg8aEtsV0/2bbZC0jQ0NCsIHoURK6Ls6oguweNKtX1NLs6TIg0uDalgWs3bTHi
oUc8waJHDNGwujl2yT6FEWJq91pFuQ2yZ6jrWzsUkbuf3MoMZ3Tua/EJDPnaqy1/yqBl4aXhgkTM
wGRzvWxJHawffn3rBvsT3lfH6cX1BD7FID18VWXd1ksS1cDhAL8UNbsRfYBbvh9QFRT4M+ypthbl
laTu3IPG70qCy236aThzq+xgfyODnDYTTsRxsnmU9rpp4GZK8ImwgUwRXetkLfhjbjvRIRwZhIOw
hPUsmebC/2yEg7cx9dV86+iJqGOBMrc6th2k2bsQT4stJHd6kVEhX1xi+zIu3ZLZB3gLIoQPlG0x
gtEMpEGBOztbaISmTjA9mr/UTe1dT4Mi7U5CG6yfjM8LBW+iBQZ3idY9hMmmTNEHhNCP7LlUm87n
0ZO1uli56QqJWQS2ubk35S1rtTpGvK7A+tq9XWDbwzg0Hks7euwraywyiOq4TRYLs7K9K1oqv4Ir
FfMhpFhSmVl37KzyLHyj07iMGR4yRh5pD29SAkRYj3jSOiNB6S2rT300RvfWjDL9sES6p29aiVnB
dAVZZM+MjV81cVouiWsKv9h3uCwmserI3yztOOrzNAdgfEdMzDEX3bl8grNzMT4uTk2oWrZdU7ft
WfiTe7I0cduslIKPx2I2QFRDD/LcPSoR9UYigW0EWyfMlXW5imSRGUOoVvks75pCUvZM28UJkWuB
Cmx+6LRjRfhlKu+zMrDq4mDlnXktC2KNSRMov96ziNCbSVn5su0HqRh40gGLlNm6cq6nulm8CxD7
BihqNxL/7NISFOyM6kZlpuxw1UwoWAHgNuAsDpVqMtgVpz7FjDXst0sosfprdyqCdIYxViV5p3z5
ZLyZ3ldlj7WGJ130iLWOCAERCYoN1u6iahPy0jeYe77Y4WDC1fs5Bg+eLaRJjVdo9+zm8NXdylxF
PR7uWNFZxxxcTTQO83Rijq7bU9B3pXNtT6TxV8o9wueaJqs4173VmZSrHHsGqrFBnxtQ8mgjo7rY
AAKvy9RMhOxn6eK+nxHUAr06L4Pz96r0v1sjObMvfavab/qjK/+9Kf9//6dZ99cjBt4V8b/IKf+n
QRDB2+f3CgyFq+2PH/uhpyACEyjaijNAewf/hibyn3qKjUOyIY0QB4ZBIMD4ox/5OzjNEel5QBNc
l7qQYvBHP/SU4B84v8JBQ4OhAXKzbfvv6Sm/9M5rDoAPi1yAkgPH/n7o7cKpkNGAqe1VxXR3CJvI
PfdiOoaikYk39I8+56kEGbATbdAsX8tWSesGDCxqvIUlKC+am6jsRKzr+UYX7qGFDX4jGziz6IL5
SlBTa8sajJpgnN8U9QhiQUJfLjrEc2B7KMokGiXmx0HXDHdz0b2A8W8xpAhQL6ACQDSHrdzDOFnL
wevEVObJHM7sMDR1Otu5tdNW/62IxAJJguTbmbZojmgdwSlcjI8djm462ghUOYeOQO3P7rrBKbsM
Y1Sy6WjIoFVb8MiOEcabDtwaTbOSYj5mVT2NjnXQ60wWNPG0rTfe1F1CrxzBJ7TRZmyWKbZyjZKi
FGbXG3WhCqi4FvKlN8Vppmb1WKS2ss/ELY5m0YAYqm6ArD9LWEXCxAxqyASuMOKDLA1/ui6+5ab1
P81LhdGk9GQZoydCuVoquov64basnbuwImLYd35p6RsGQ/wOXU0iMJvcSW9W4s7XBIJpOeTBGDsB
khUcasYq9nLvG4y7Zg/8bthi3FKnCxfXc6UuvtsdBLRcSexjqK1Nq8zBAnfaLthqpICXHLEzrHsz
wr5lOnr5H9li/tM2D48Q3Gr/nqLKmv+Vtj3iuz5uH3/84I/tA1FtuNUx70SE/prvgdvzn9sHxYGg
NhQ90FIUEgf0hB/bB07xBjyOLcdGhYPeCH/0Y/tAID/OOwLmCfwJWwj5WwwVoLoPooWHSGeoeB5Z
Tw3HZrWKGu+kN1nkgG3oiPgut300a37PiCAfC4fUwril+mtoCUj54X777LmdTiKvgfcisAKQDMje
UNYoDkuBzA5Ip31CEB9UI6gp7atwBtRj083iwsLC17whDz18ot2hzWQeYZi25hJVCChCt+THzhSW
B78LHiKEGBVlKTb+gmCqAAFHGJAUO6g2e1hgn3LjrwEW3V3flgiOsli0owSeAXe8nxxyRIbDpYXN
Dcw9MpVIX9ENmBrICQhcagzbzmsCU4sopmpuXnJtH7TfKXRjwx0Zi2ZTSHS6MPCBC0Ckk9/X2J7W
lKcend8maqevfut/hURepYh2GFKFcKhocp6F3YpDNzQt7tfwM3SXm3JNlMLb/BIJfgWYKA6dMYBf
xW/bx6maETVG6Lamebv1Ov8zukZwDHC056UVLx7/6jc0m2p4bdqm27pW+Rb05tb4dbEjEYppPnpo
vcyypBWz/Gywpit4sJyYFfYjy8Pz6IBggTWhRTRF2MaigyWxEuBZR7N3fP0JvQaKLUer7RCqq2Vx
zTEk82PYIEjielLY/Do9LcghCF34okqr+wa0yEPI0FhlqhrQnE9rtbI005YzjBglq6J9J2eY0Wr7
AZ58pD1BQdjZYRkD4nVeFgI/Go+jaLgf/Ka4aC26w0J4j8rRqned12amIre0hYDtiBBRbwy1b03Y
IzNeh44HllQHwELqFBCYoA9NqddCGLOs9hoYRx77qtgChLqHyoTMuQoZacO0Q0l2cAeBr3jmaV5N
T53H3gKHn3ILNh1BJRj5XvM4sIbPLliTpHKdF8tuPlmd48W0CLZz5LbImat2NinuZNCqFJQcACdH
IKUt3MwgpKYqQE5bffLzAOok5gRQRe8wwv5GmjbMIAj5MNrNSGqo0UCPVvWF+tYzeMPNXE63TalP
82jde1b5STfN17IHoSEH6yin/kKc/GES1XE2HFcrtx8L7oik7PN7qGJHXeEb6uzC3ThdgByGMLrA
CfWSB+bBJ3SJm6KpENuFJwlUkFe4yW9NX12Krt/YOZ6OYTBeGereOjM+C8/ZTa/oHmVQAv7gUCBb
bvDNsbM8+NL0Y+gWSSE8pNB4VyVbdk7PYblCGFit5mfYhcNtVVg8rhmiFbDNdXEhLaT4rFEZOZSd
ZGT9c6/4wYnGc+3Y+5Isj4NArMuI1glTdbPvevg9sGARcGM1t0iBeYUAiMiIuunjxQdBiVYhQ65D
CP9zqzIofHyDWnu3uMA8qo5X6L+7ZFJIH7MRc7PuuNilaJvVoHHagYyxjaJlM8BXWZAZVBeRO4Kv
AHvSjTP752qIvng+xdoK/Afbd8+OK6vEGZBaMsI5lLbrFteXSzoW5M6OxKYJSrgEOsVjhcihiHrN
jo/ggho9wBarAbZgvQ1LcUeJ+xpwEFNAzM6onvJtUVjWplLNLQ0gz8kCHuDZDl5tyDIZFQ3M136X
zQ4EFM7gbcNOuqmRjNHrBdYOuVQJ6+m9YKOIBxqwL11pXXy0gBme+reGsSdTjld9VO64F35bJsQN
aoFoubIjiACS8H0z5QEERU/InziylYrzYhczLMtjmwGWP3phfx+tcWL9GiwG8fxTu7Ao69zRQY24
POcjlMEAeWS+tmSyDD0cO82lRGKZg+SyCQlmdI0yc0R/aBY7g1W1yQbt3SC57DxEUMf8NQitQiJa
iGQ0YvWIDljD0jwDHAud4b2DHDWWkwNEmMdqDVir/XCNW1meozV7Tc6P3DM3namusR7wJUzDA0da
2+KVBNGFCC8aidgOa6TbFOk7gYw36qsDxNyjS6YHAV97jiw4H8RgF7kiDvEv0xoXFzQ+wLc1Qi7y
UUSyCrFygiB6DntsihiCnUDyXL9G0AVoJIvKhzC/xtN5a1Ad0uoQWQer9rIgxM6qIbx8j7VbA+6Q
eWDvEUvDYBNG/F27BuHVBBgWyjq64lIb5GpVfyBD/92N339eVUYxEf33VdlxzR39tSJbf+hdReYG
rhe5FLDH9/C0Pysy8g9w3lB83cCHLeRdP+fjvG78Fawz8u9xI38WZB4OS8E4O7Cph6OSaPC3+rn1
6JwPE+n1KEtYn5C77oO5/zBEormj4YkLvAvc8E7/YEdlw0UiZk7TsrQG1F2ICWKIB6qd5671J7kl
prkhloPwMAdCb88QFZLogOR+PIe+knve9ks6ByOeaYOnsI8qlR8QzWUQvdi0S33T8voJQQ+32P8+
TcbWCTiZy+wLmboCJuIlmEAry/K1DUo/tgmgY8iUSP0gVjJp5HCJqk64Xc+pcdRdSfPn1f5bHpE8
usxpU/JiesS0USWcDZg9eH3dtSlCMiY/aYdZi7NrzcgOwlOWuSzH46kxGdGCQTYZu1e7Wj4ViLVK
tM/zhHZioyZmkpZXO2DEOzB9GlqieCVOX20bPE/SxeUPrLC+2OdOzOcWHmkIcfh6mqWGDzi/pzK8
4S3JonncVssN1f6DgZvND4vMFUit+J9RYP7zbsTVcPHvb8QEcWLfs7Fx+Nyv9+P6sz/uRwgscOUC
b4woBSj0U4dk/wMtCRwof0Yg/uiQQpxNhTDFCNwhrB9I+vnzhsTpRWiPcIaN/0f4cfR3BBbMyT/e
kYhmxILG7/SRxuiv1Mz7DiniAfBW0HJXzchQeCS9bPFwmqh7EAgirJLK5w9zVSC7a7JOocBkvPKA
1JrKT0thkZjq6n4q9LEOp7uRTKc5R40KphcsrgFqjGEFpnL60fD5EnBn7zF0Q03exhK1eTdN6IoG
P5m43LOlMXDGK8zXkGKTB9G07R3nmxMWOjHf+3xWo+tijp2hc5HxErqboarCxG0wrYxU+TL7eK6r
xp0zJITxlPTdvesPQ+wOlp2A/wDWu5BkNjp2Czkmvcifmoim2gZWjBzZ1GPm1R+Qf5NLnsLJ+QXh
pCjvfPbsYwIQg1vZo5HDOAABdphzPfuFuw2DbklyRAqUYW/FjuI720d8xtiGOzVBm5rdscd4aHqd
2/yV6+mKtKWMPbA/DM1Owl3EE9QTfAmF2NDJ9KBYEDkWFt1bQVwEslGBfdCrYmdNa8sH/dXPbYRZ
1PNn1nn5EUluGLR7No+RoZBZIqS3tgr61MWYNmGroN+qKdoaUx+pJ8eXMBpRkQyI2Qb6PCaLG7DM
zYN208wOQXTJhJFciUqjiJY2HmyQ/jMJp7QGYbMJkVWc5o01Y7MKorhXdZlZDKPkmbAcQSWKHRlp
m20YGQ2OdlwekVON4pJg/FKrBgYInwebxdT1S9sjURYxc/7zqDi/VT2V16Vvs31I++kkI+xz49y0
B4xHeiQAum51yg1ChzAdnE5DvzQo3ThiJaaQWSHkbEvuhU1u6jaiWQnXwAOZ8cVvczBRn6wqKr65
YTNkfNWyjJ6HrIa8Bawa1NWqeI2r9qV6zN0ghsFhgm/dZBJ9ooJYhhFplFhyuPSrjpavilpARrTg
q8oWrHqbC+HNXRU4CUNL9V2TgziHsTIytFa9TqzKnb9qeItb07Rddb1gVfja72Kfze6CP9Q/6IDt
qggiGHJ8RKZWuPfbBnrhqhxaITREBTFxWlVFzC7hrYDO+P+1LijeHqFAhv79Zr4bOJIt3/SvG/n6
c//cyJ1/QI4iiLGF4AXDHDbSf0pdOGoIabYeXglb/Zo5/0Pqcld5HZjietwBdvHvIvr/lbqQgEsI
BfCz/lYc4A6U8W+Qhx+FLuB9AOhX2y30cjxlPjBEekA6IagLcz2QQ4Fde75t1fbdl/IvMDb4eH96
VuBTQM4LIPxD3YYDEp/352cFRTdTVbXqrh0TVUTF7vd8rNKxBQh0gjDxVKJmq2+WlvmI1wAE9NwX
gV3fhMSbkxJWdBu3dAdTSYugKcyY8ibzHdRg8HbHw+Ik89xc52BumtYCGxQhdrG90wSJKXOJmA4Z
3E5M7aBPY7vjGGEzTVPPlQfMoq6ssH5t5vqzhWDUoev2CIh8hqJDk4WVV4VWWWgjC6HEBJFO/bd+
CDAzZAZmPTfYMolpscVpE2OGuZNjVyfwtTwgnVw6KsHHey58ssfsEPsw7Q5yEl8bEIRo/xHOMvOv
eYdk/pB3SIgjEzBy1W8wLoCXJTBpKNYW0NjIcA/I66TEwXEtnlJX3I+0OIAheugnRK3ZTD/VfFbI
OTNflO8eZrcXG1l1Z1FOJo1k4OABlXtJ3vZ3OHMHyoeLPHr4/868gDiplXPTmKhIYLp7tioHGy2G
qp4dIELN1t8Qs42ESGa3cSDba9G6x8D0LvpeyeKmloijAi4YY9xZJFM1IIugs6EjjAi4crvliYLV
cnA543awbj1jQVSxm3vDoy6OwvrFkr0b26bbYzheXRptaALh66AszFoJRVIfDYtTob84VbuJ8Lhn
3NiJO0mFslU85QuSS3IZYsZR0EMfDn2qx2C7BN6XjkHuMHN/HAL3S4gpbhpW7FvIgzEpXABaUkf3
UDW/uaiZiWRfmfRMQlW1K20Y7Cge1m3Br0dbvdKqAtnjajyja7FvGJgWd9QbFq6SqINHoau0yVyL
RIknhmu08g9wUP4Xe+e1HLmRdtsnggIm4W7LV9F7c4Mg2SRMwiZMAnj6s9Dzt9StGc2EzrUiFIpQ
U2Sxq4BE5v72XhtCaw6nwUkUiLrkLh67ZlP5cb8uIwQbQcyKQPp2rvj8wiC7s51hjQiCWyEcnqQ5
g9qavK8sC19di0RVom0HGr2MGMwk8qIscrWOs7Res648xAygS+HWcPmdqzj3iTJWmE+scXwdMqB8
tW76baB5P3x/fpFedA8YLUMsLj8FbOjdoMwHGecPbQrccDSW2VHcXRS+8dUZwQuAX07xMuHwY7WQ
7CPkJeC2XmVvO2eSx5rgZr7VQjXRoebdCOfQau7dWM8r2Kpc5WEuH7Dahkd3BsrhOfq+aeyDMdef
BZJ2Kmsyv1X9DXMEJxYf/nXfBelO6u6sVynJEdFBV40AhHmPC1FwPyVTdl5Q+ZAaxq3qsxDLXZY3
IFwLDGWDDs4Mf6w22NeqdZvDopu5fmOn3o+VcwHYsFj7ytgbMHRr7k22R/VlW/nPSeB+gllqOPsx
xRKzBQurBpA9nTHofFtStsTFToXbv8S9gDI7O7eqtLa0btxWlnPUpP1g3W48I360pffSBi7PaxM6
XXyNhfwam9HF3HY7OG54HKZv/YA3K/GzjWw7ucWJsZYNO+VWkWEL3J2qh0vfr7aqkfnKQdBOUlev
qhDNPQuMVWQYV1OnHosUpGRkt/Czkp3djE9G++n2XImD5+8ckfnFOip1jsIc6bRcZ/1kGFtzmPxH
n9DqvmmUvc7ikT1uUHf1pXSc56ISxh1m0a0/lFja8ox1ayUrURO0dmdn302VWgc5OnfgFI+yaXeq
089a54/MT1+Qrp0bs3fnax54zU7lzVtjW8dEOd/GKLjCWHYZ5mG80IMZfEhcYmlDjMnIcthjcxHe
C7xcF3GR3KVx/J7Zylhr2ednap7goBUkDKMSvpvokpfS5lPUyX2aVtkmdIxTP7TPPR6Mu8Bwil1k
cCAAGkgyJeXZg7GHNaA3cpCSfT1fGV1g3HuZQ0x7CvU2VvQZcJe3TxDg+o3o/OLA3RxsmrzbCG8Y
DoPV6X1kw2p3imra6xL83JDX8Oo6mXKzp+5BcyY4tHLAhNTdtiIhdmjts0EMq8qIKNNwqGTxrHtU
/WdljXexq7xjKPrnKoRrKuI5+h/ApV8n4N8fukEoaC7wAjgArvmnJ7uX9zW5/qa/rgK99ayrLLj3
+K1dDj2ZePrvj/hfdxHLayFgY6HmpMr0nonZrw/4tq3Gztatvg6ibSQfmwm43f/wiv+vl1i+/tNE
Dgt2nus+19c1NyatLqtkeBX13f/H3wOfMiYtxgEkRX59kTbhTJWVWl876r6pzkeDronjf3+Jf/9Y
eKt+egnv15foegxblhj1NdDEotnNRbdlF1L6b9n0P15pmVH+kSn5vw/lp1dafpOf3rE8GdzC6/jL
NNO8skpvndinvrjQw3YoTnMx/0ta/Usy1vKL//nlMPNj4sD4EbrL3Pbnl+viDGZjZ2lA1c9Whxju
3cfJ2VQ8f3///lFwl9Kyvz5r7KCRl/9pqM53/ThpQB+BCsQ7z1jd/xVMQltWSFqAufmPM8OPk4bj
/8YZgrQHYfIFzPZzxsnFrkMiynd99B+Inn+rUAPp95crZAnpoD2FHGt8yw3p6PjTiiQL6gbGLvIv
I3i2cdcM5UWn7clbZ8VQo36WixIa6BZN9Ls8WoWL06T6LpvCf3gZEVLx606bpCVWqxFZOWxv5Bxj
yln018qCPF2F2Tv7opRRCyrtZLBrKbHSUSnSrb3ceMEcekuBxhPUTkvedDRY3FFucIAjS5NWtNBU
W4qfUgPCbhnoVTM0W8DV8ctUd8l1FCWpd53kk3/tlkGbYDukfmjl9cA9N25UmOW9h2l8FzFp0tsW
qkhHAqFN0seeUSqGfKmfJOI1dSGyOqRJlk0MUdUF7uKT7t1bNxYTBPjy0Zzz+17AwK+S+sMOmCZ7
CSjqDm+SIqGObvieLC5LZYhLr7efvHF87NklYLk3zo3B2BgFQ5w4xa8k6tqCnKEpXih9sexHn+zI
CdaFJ1/t2L2Tgb6CxuxuAAZ/A1BzX/Ti0xQAFdqCN8UNuhvfIT9L3qE5aH4+OLBavk4OtlCp04M5
h3rTNKhTRR7cN7ll76pSlsgXbJrHzD4kHdbrYVCbQqecBngOugVHAvy1M01PstzaWYMZ3JxOTm3f
RHZfrKl0Qv8Q9qGSk7W2A2gi4TTax2mwsGT35jezCjdB3xa4491oK/12X5ThW5xUZ17on7VOuOSV
6EJw5vDOj6gEILcFn9X45obzLjfHYx3Vl7EiUkEbyqZWs3coykXNieqvrgJY7aUaJKtRfOgkJPo7
Qb4NXTCy4eAfvMW8weV1Iyw2rWAgLjs3M9g1RtfY/W/cmF6nOLFuo9ow1j0zUdAtyl3Tb9Kuud42
CVuAnt3Nqoq7U8cn2LX9DldUuh9dcJ2e2VTbuRTHYpiuxsZ9struMuzSewjdcp2a7WMRJ7eL+3dT
m/3eij3jyNjNwYOrbic/uqfO4WZu2GpqC+UNx1a8ClNy4JaKrvtoPkx5ZKBIGh+qMZKNKWq5n1zG
jLMV5ri3UB9jt0WhJOqM2Xk+VbV/leFX31UBx6S6L4EdDyDHG6HPXWl9w112SvsA7EybXnhZjXAJ
6AA/lrU3QQCvphjIMzfARljZmzJrvZvC7ipU4nkwEqDGXFmrbCp4QPXOVzGBMWEWctvP9brr/cO8
+MV8f8mFlNAXOjk82FC8Dobg6oRFopFu0898smfGm/6zq9075lvjcajYmeXKPmL0cTZg9s+TgToY
j4qotVkIsdNNdpXGHpt2eVvkw2WccG3DD6RlL5PbtAiv7bhsdl6OI0TX2tk0apxWTendawsZ2FTm
V2SLV+ZLH2hJx0Y7TGrjDkeIYX+K1nhsSdavi6J4LHRnb+0QI+AE9iT1ipdqEjCnq8kF1YDfWpx8
MXo3ThbUPiEX9rhT0rw7mqOt7UJ3WUrsere58GDFbmeJP2aY35VjvzSwFw6hWY6ctPzruR/KTdDB
UhaKOhdP4GLAd/hBD1Z7NP3uLik7TvNwYeE5V0gnvsxYa53X2hN3XYEZX2PB3REn0xts9hlJ95op
W2peDj3lWdJ1Pod5Cjelizcgs4fNEFX+QcqSI4chOMsSk1kVJp4bWls+jIE72WqFczAj7V6mo0u7
WtuMm8Cwk41jN7caKOhpCvxua2EEl2k58jmlNL+xMU/djN15ltScRfVxKqJX4NjjpjBEsbV9mDHk
x/J1rbIPzy/x0UTZvHVLyCfCmQ4eE6tjVYudBHixSXwv3wUB1h3Ww3lfZs2r4pRVchCMdbSvMF3c
JAZRG7dKYUG12lyFXRHuRqOsFptKdOOVdr3zG+tIjuMccT/edUUW7HE60U5IRHgdDdN0Svp+oXlk
uwQ95GTXTrZ26xnVeIzLQ1KW88OsCz4bPRk7N6D6xsCesYqJS6zcbjji/1crYLAzejoW9Dw8ReF8
ZqRzwWQRh0ok5xt82xsyORxyfO98bvHqJP2MnXIA3Nwn96XNbJFzVb6rHSbpfWIoopPdh9cweoHe
QGNC0OEit5iNUEZHlj9PrrvUvobLZG5klQ6wmeczp4vOqTPcyGa+HtDrt07WmBsblxlJGnUZutlH
UBbveRuhZ/shRiMCypvccOmOC6YtCjY6CwfvlWnqR6uXb5U0rnOV3km6C6FgmN42U5a3UqL+zGf/
Ky5Msesc0TKnFfxI+oI2OjdfanJLq6EHIRL21c6xzGGjGwUNG3BMGRTmIRuz+BH0PBWE0YuHHWZl
c+sSi/pSRfcCcHTlJt1lPXApi674iFw73JLIkauwyB/Ziaf0KKa4YAzjBmC7ueEgd2ExH6FCS57l
zHbWgmeqawwsYJb1OQbtwe+j8yCaCkotphPdReGmkQao+PKpmNTlWNpgLSZSaIrAEB/oqWmtMzcv
vhl18KVHDEAeHjhSfoeozT4DY9i1fdXtWxJEbc1XdWU8mplJvPCsgF6B3giNW76FffZO7GBdD4zO
MuUfqcharhqI/K2nTnOr8d5IPp4Cr1WGeW+cuZ5TTqw72xafjlk5K9v179Is5n9mAR8Kul9Ubq2E
WeGo47bbs3N7ZQd2TEeczux0Vk7nwV+vinVfp1deE6yiUD9ZDj+8HivGbdmZxHe4d4ruQ8T0UvpR
ua4Lyjf94nrZxFgOD7ywjPduYjHRCpzLUaYPSjNir1uTY3PdXNdpeI7hOdw4XnPbG0A6/cxFfBXF
np4dnEV2xuFVF6Th62DF0CcGc86tU84Oi4XCVDY0/NWCctgm7DvhlaWMs5xl96COvpOc9JR9JZab
7mIdXE1Wtq/mfRtSIBrQ0lGi9Z3DyrlP8kEu86JiDXlrn2UDpaE+GxlnfncCajZ0/B546bmwgWUD
Jk/4sJo3ei2XgJEmClObgzrj9rmPJ0QaHDiPVu2DeEPebdU2ODhxfrBpJINcvokCp74pPVXQLlmm
nt6mwrWMpwSoEmAzZmfqJJkkUfeQkjEZdlU+GNMN2fnX0nRTYyOiCn7pTMsHKTZ5gq/PbyERlHAN
7ecwxpJVGTvDz+pNKQ29S0W1EYXsN9FQPdP5M2/LABDuMMUWWZ2M3HJ5p4WH49uhEypTT6Tp3VXB
xsuI0m4XuuEx8cUbLvXrMSWJmPjo3EnaFbAJuEOkhG7k6sFaGVjbeJwgoEmTB1vLI43Pb/ns2Jv3
4cR0MDlvlCVWeS02NAtcDl16Ffb++TJkXpVg0q1w2rShOMdkz+6mqt95ttBDl+drWQZolNSTdL35
ORN63M+ZiZljCA5i6K8bb8ZyvwSLOUqs2NfojReV35QuDoA/DWQPWi2a1jsXDclfOVBegBjsFpU+
sO6eh9rZ+xMiUOm27QF5jpCpzQvSz7qWgm6A1hrY3qDM0ga3r212u6ElX2VD5UNyJWuGv7B/yDYd
XUX3WRgMlwZTQEym3VXhZt/qSdG/ZU1rPQH/iM1LeDm7vBwuBfUJmC1JQ22UMuLTYFZPpEmPXZK+
dH73UIdgc7LZ3JLpGT3/bozbNfteWiLs17TGPt8Cx3KK+IhENh+zPn/lF3xIFnOWz15wm3Q149XC
eBVFRbfADHWvarKzkbzbph3I6E7FjCQw2Ytc9VwP5tuYyRutyzdZBxSeth1XQviSU5OQOslTQaT8
X7rBPwd6izHYXx/ooa99qvQt/w/DQ77v9yM9E0IcVyZWSUYujkBY+zE8tDy8HhirUPcAAPyMLXGY
OGKXMpnm8Y0+9ow/XCD2b6T4OIGTwvlXdOfvDA+RCP50pPcdV+A1YX9re8sc8U/CH+Q3UjVGM12M
DsfMnSXNwL+ofQoiv8wZPBezEwqJkesdjgTzofKk1CXzrwxJ0hPyNrK5UQOcmAdlDf60cjz7g9Kc
dl2F0Zuy5J2MZHE9SZlgLfbsneNatEcJs72oPO8rqQMk9AIXg1VSr8j+y9n6baq2nUeYnEecez5z
sxyNMu+Y37FRhQPncWzPslhd1vD1kIfDcw5P8gx3Y7lpaz3tlMt4qmskTu/CrNdFaHEcRLq4FMN0
km56HlRddFakudxJI+S2DrHvMCzzqDeh83s3hj7b2w5dvWFos7akX2+aEYm7CcAjmsJ4yZFja28s
T37S31teYjK9YJHmYVCv43AyLlXmfegS5b6pfGuPj+NrzrJXVnyctWKwiqOO/Oi8Ftn0wEYn4mSS
XMStUx37JPvsSEu/MMfiEIgssRu8nDIS2pKAniweElJF4RkWY2vradM4iXo0z11qzvdpYlMrqnrv
XPn+TZDH2R3DnaNOpnuwKOWqEqXYm0F143vsWMNIlVTHCew8FWPZWfLwFaam2HOSxrmV9DjIJ5W4
L0NNLjMyHXnWRZPV7SlvnJaKKKU8dZXw2Q2ErtOLiSQyZ/vYijgtZvwk4t2h0V3VVAQhOdj0WR3r
brLvDbvP0yP1n/NJDWV4lWJFblbVHPBUDHkToquQByQPKBl+DVYoz220Aot4/B2WGmvc/CNHfrc+
LPOCv1699vlnWf770rV804+lCwNbAJhvafElzvddV/yxdNn2byw/gn/+b1n73ffgkAsycQr8nvFh
QfkR8Ql/cwII+CH/ssyFT/63li5vWZr+0KtRI2E4kxXiZwaBEMuP+0WvJkbs22MfhFd2oYD9utZc
Yxyr4vLGMeAk0uRCTPWVe1vdYDwrvVMxMESbh5C+rfBclaFksyvfJUZ3Goy4irt4NwmBs7l28hGi
3NKwMzrNth/CG0S2ryXoyvSRLvXeZgJpr+M2RWnBqkr9Y1CyO66Ng5Hm766ilcrPqvM40zfSpkfL
6xTYV+/gm/bBRKyjIFWvaR+FIEDtJCWBlzbnt9RmtqOXZsrenA7T0lVZGtZ7RnnlSNX5UQX+c02t
5az0B7u5iyAku70UqHovIe303dKGyXjqE4zz0mXDQQM/HHs5ujMh0O1GEnrgU6wDlXxnw9KzqZfG
TekYiuEcTW6Ar/nbYu7btNX8hN55AUBomc/S4KmWLk8bQTMRNOU6fbxTS9+nhc9jm1EBGlAFSkYK
J4igHZS440tBXSg+PTSL6ooYd7oyisjdFUu3KF3KR40NDFkLCqZlFO7G1MugbWklrRfHG8pdAUUz
PK+pLi1ceWzjBsiAnX2biiFYmUvPKUgSwj3CWjnx9FbavSYcaX11tnGyKEnF73WeLa2p0dKfOnxv
UtV0qgL5z3DnoS2OFK7OFK8WRqmf+TzPOvd1Lkhqpy2zwZw5SHaiPv5OLw2uSoNg3lhW2CTnhg2q
d1umCwyRgHeFf9jqZNhcjuALj3kLcW/tDsk+DQI1rgqSrBcsf8nJl9Wwt9m5HXlfqM8TS5NeEgXh
XUQEMlznkzUSwakQMweX7sRauSLf5JQ07S2WfnJjpYK0Cgr7Kai8gCm8NP+ZzizZZ1aL/7qZu8c4
k3bTvy+Iy7f9viAutl3GikIslZ1Ep//Yy9nOb57t4ANbljX2WP9n58UF5mCJBMclbLgeIQOYn1ZD
/twEPgf8hSUTp+/fcIH5f7JofV8NKS1gfgdMBkuYu6yWPw0LYe2MXtO0xXVp1UJctN/LDac+NQHT
OtNSeziOA3dO7tcfzUApYDUnewSyO4EnhYDf+zRoeDE9mURCSE0N3bMLoLD0wr80O6thyA/evapx
PuEhGeiJm/As1B42xRqspRHBSaV3Yp1F1VULlNTwGDm4of4magMqAz75PuSeRbI5G4nYrZwwu1j0
A2VWWC0SB7Bv5w2sYXyNfcc32sUr1BP1PnCEnQs57U07eDdGa5fozsKUHB98v7ssZ8lpVSbRym30
iw6Mh7yboJNK685xu+eY8fo+DIxgj1Hbu4oJGTN7CTvEWIm1Z4rfMNUANXYHdNxQ3VADflVxwqS0
z74DLbjIc+nNaJunwnQ/kaD2LNxvrUjPBKTqtWI+AAL9DBoO/3d4KEz13DvpsRp7j7N7/Fy13vMy
z9IV+0bnow3DD2W3V2pOn9xq/JAiKDZQ3OYNT+Jrg192pTCiFRz/Vhn8JCAcLLSTTO/Ijl32tXE5
O020zkzcpZNNCbjbBMUxw9lDXIfphzbF9VIUeQa3Il4Rv/PX8WidZYkX7zOj93ZNnF8kTc9ptB0f
vNY4QW4FOe93AFsJY9PAeVVPIlxPsgmOqi7t/YRvIuCcibLXJ+t6yoO99BO1ycxi2HpDhNWsp1/V
yvmqP9kHFevHKPB3edpfe2aP7bkE6GGEzV6JEnWEnXYs5dF2Y7kaOyYbQs8kXk11LAzo9Mo2oj03
WrTW1XDGmB834YyvqVPvmaFusVhfg2o6xpk/rj0724useig6cQiXlVPO3kOXNSuziB/bCsu0aWPM
mfG+ub0nIG5Bnw/6+RkBuSa4Vp/oLXkyesqY8lY/GCEdbHxrvp1zo9k6g7ybDHvaErrDEWdVX0Vr
FOu0qi/EFF5JMcWrjpnWKqgo6h4HvR2DsbrydRFzr6iACruURkYZHhh0EiR21PjWRfh3zbaOUL7a
xZGWPfWShFb64HSYEIMwBbNvEVBBEVkD8+oob6U51tWqPoyWDVSrMs8WZJIojXkDpYdYCNIndsdk
O5XNvPHt4hIfWLmichT50HHUeoznheDxJsdFAnbMO+GcjOlLmpgpjVhRItBunWnMyOH424C0NBHu
L4y1mPl98aVm8yVsw3PSOJc1EdAl8r1yWyPZeiQ9V1PR3CZ9+5aDLsbzRsXAfBI9uj4bdczkMBvR
z8RaBdOX3apXeq7PdNXd5LVx0Q2Z3HFs2czE34hQjmvkYdq8S0h9WS/NVR8mePW77qtmL7DKR21v
8tF/g3b9SuLbXLUVFe12hedr1IGHrDRlKzKAAaYn8cyqC2N7UviHcu+jswK8iPjMNyzIZ7ipR3hM
fb9L5uHURZj3bBXfesn4lqUuj3QhUbMbgCx13FnrVjQHD+wA8z2mV8l417kNPKCs3OZUVKAep/a2
LF3FTVdxSwTeBUp5tq3G6LLKibaKPhrXPv3pUSTo4A3vaDA4OCNVG15J5rCfcgaNDDNjq9nFXZA/
w2xIiRbQiWCyyWQ0zY3tZk++51CsPGhgYaEW69hO3seyoqpZpLtBlycW9NtJVAOQoGLc8AC4IdxI
4G9pdsRzsE/MdOlnd8TK9Sg9C8pTEnkC41p+Tp/CDaGBEvW9WEXAzwG5KWtbxjnfOwx3rgdxfC77
97bKiFzUilLY0k5IgzYGgwLji1Qaz4tEpYQAjBvYWO84BeNVk/vENIrAWOcjeyWGFOWl2YTL1g2P
SUDyCVgkp+5pJBxiY6NKYOZvKtZsmBrmLkvNbscR+L0P06eq5kLSUbmjN5ENJh85fttCrbVDMTLA
pXiHQZr3FOTa0XH0IYwFKLlESG4aN+ddGh5o6bzRPBPXXUZ+PCU1RpepG2MZmLjcAl9S7MufBSRi
zmtj1hspsovJcKoVbDu9jk2tV4b0Htxu2gMA++ZW7nUW15/jEkdvRfbsedRYakVIxevLcwtJ/NJ3
5wue/9hp/PJgWtaxy2taVyd7CSOY1XOTZ/mxnZsHx+bGz0vnyZjEVZd233ST78Ioe+Bhb56lXsso
MAiPbRpf+WlzH87y4Bj0fPoJoYS8hy8yCXIKrsMukQx1NQgctModNrbvfzASMDYYLGHVVfW8m6rg
1oqKZuu6iUCKH8ttXUPxGfI+OppqevMMLoaOlg0I98H9WPpyFUTGCVffm8p88OYGYO6s3ldNxff7
9XUl0Y+r0Iy3hoV9NxvJ6HQpoCsiM1njXZu991gJbx/V+XiYY+crM7XPGmvRdYzUsQ3GEr6lT+qh
gwi5YrjJ5ZdZ3YJxJDs+Wy9eSw+JkJjGaz5YZbBqJ3gYNpk/6bVnZG84SC5kqmH6MVpZY+YG1Y/R
VnQK+jk+794Bj9eb8pDFjNDSAB+D2WHPbmzGHvQBYEkPAypJjZGMUqx2g0UypiqGgSTLtIYgtqyq
3hMlA6RbYwzZRWPcJ0o/qDBknpGG60rn532LwyHu6UGL26rZUIR613l+s43wE/eLsbgwwweB0zjG
tL12FvNxwdwI9Zb7ycGZPMZGvrHxKhvsnLghsS9rfMw1fubR5nm+GJxNnM6NZ+r1jPdZ1wOTGO/L
M417w8Ec7S82aRnKL7/FNGnn9seAkxq4LgVqeKtbPNYoWWpT4rqOSqfchIsRe/TkU1wU7ZqQvr0O
elw9lJ3E0buJh5uNgVhxrKlWVp+daldR38AZ5hIe/jFaTOABbvDYAGpQ6OzeUgSYaxzjfhESrcRD
Lhg8jey5cMHMaHMUzW6bxXIOM5RW1MWG3iyG9GCxpld41AO86kEAcEcu9nXuuy9vMbRzzYxbyAs7
E697DS4CboB1ky82eK6FC8dLu23pZtAhZX3nLaZ5AJoO28uRdVqVF+NirVd47K2g+6CroV1buO+b
xYZf9ObDjA9inPJ7ezHqaxz7lW++D8PMxQ/djZkytn6COec1Pv9yMfybE/J6uIQAOi/7DNkbJwMg
j5qcwFww1VuCA7GajzZJgjTjhE64oF5SBi27PHiA7DOXBEISan9fLamEhngCXpMvb8kr+NX44hTs
+ZY0Q0qsoeeMHhFzSGT5FhF7yLr+ShCDKJY8REwwgqkKT0qnOdAcfDsSnRhd+pMiwhQjoYpahMeQ
kAUT7muA1etpSV9MTrJNiGOkajhX6IA9tnSarIlptRnjjuZ7jCMvZ+95+h7uaAx3kDe5S7cgE0Fv
3bs0p/8jyX0/gy4FF38tyZ19qv+gyC3f8+MAuhSXWR7nRc9nFGouYv3vipz5m8VDFi0fdCBnTsSw
H5FSgtzf40EWZ00C3UtC6IciJ8h4Yys0fdf1aB9y/p4/cEkB/SLIcSa24ayjlMOgJjD06xHUt+rY
BOXXXfqtD+YEPAZAjoQ2K78R4d4fgjdOJZqzpZtw9JozYcDjDnr8KH5qZy+pjW8FsG3VN0ckGDod
sj7T5hZcR+9f14Qu9HWp68vakek9g2aOtBwbfZgLc4vanWSvDpVmN5AKKaY1I9vaxjizo4nm5zxl
IZ6TZVPXxpuGGrGF4msUpMYtkLntC8i8jLnvCNqBmbXTe23a7uxyTK1TUei5uotnVHHyQlFGcKKK
1T6ktAYeOcPxcei8jap0tgcc2Gx1E1n7QXrWVo9AaU3pqUfikL11kOHkzVun7SfqC+1wHrd5zxaB
cUtkICex3GPyqWfvop/apNrUduXdpZ6n4Mb4NVN0Hut7Kh1kdyedHMYMfKz8arS9xN43Pv8NKbZ6
nrUAlVzD32AZHJPKP+Loc8ztP7fo91vU+a8y0W06fOKB+/b570LR8o2/36cM/VBgbLGMT7Du/3Gb
LncwMHhqB0JeDnPuH7ep+A1SPNg97vCQ6d9ScPDjNmUcaLNDR+z+fpOCzfobUtH3Bt2fb1OmkB6Z
AnKHHpoVscZfb9PEXlLfvWNfsAlvav/cYPu75JiE2RbmJhSZZKRvO3KTeBHbs1TDBrKmiXPf1KXu
VZCb+VVfMdMBVm0cXRisF700wCTYbXlWRGFxB3xHX/WjqM8R3aoPoLb6ZBda3hFYUmfwyiHqdqP/
GdlweysRRDsappZWGoTp18SE67UyBiweStcrEeZ7aVt6M+ely8PYs74MJ51JO3tpj2EAhxd0L7wT
Qcho3yPiZGf2yjUzjuqJL6+Loo/u7SxMbnsYPMmdmREIb/e5bzXzca6TCHce3kLMKBY3M9k30bO5
sFcDA1t2WpMOqumNtW64UcoKcJZVyhabaPYG89KDjLItXKjCD0Y2u0z7Bun7iBweoopWwIlX7kBf
rWSueRQDSYHZtingmruVquGpdjU9QKXLfm5QoXs24Pl6owjNs1eYMEjQhSZAeKMZiKlPaek4YAQp
v5oSJEcgeOJ2ttjLHeyBYqjKzz66LE9ONbVFnDiypjsGTZAOt7TrQAtTLoabdcKFqS+KEJyrsf9n
RfjXQ5vb968f2udv8j8sBgvp/8diwKzMIVHLII32Eh+e5h+rAaoxD3EAKw5weMblfOnHQzvE1E91
lU+f97JMLJryj9Ug+M0jh7u0PNApgZvpb8WHqTz581N7YcKE/DmaDnfWQpz4WThmPsbjoSndKznk
8ZkRF010N44SgCN6idxrISjI8kFlNWTi4BDlR6FwEbu94R5kxN6+mGxCKdpkkp7lgbkbFyFGwCJf
OXjUApc9sM5StZJxeTLCzL3wZ266MTd3YIw5K+HFDufg080GxJqJQAA6yczwh5LJctRnWZnvjGBI
AOtm/W03tIyOR+81Hylna7Mk3Go8YTls5JmQoLbj28YqaST1iPO3NonGslCHjh4MVKxP8gE3qRNc
zaibZK7usJjvjap9NuKgPiuj6qxJwqNKRHq0Qv2cd/E6MJK7wnYfQK+PKwwUCQUeTn1ntfELLsij
E9SUbEUvWFnf+sSxsDM1QA+6AdpzQgthCoiBwQA6lsJO5lfhWQPQYSWVzbAsv2ywb+GXi6mCFG90
LFx1ENY63mjOGtV6rtAbpqg+Fb701wWof5f2BZMwUGjZzM7mElwe/i+/dsC1+9NpjoznQCU31HZF
66TLOHCWeKn8doYKAxYnWGzGFKWuM10dUH5fJFslWWHpdB3K7OIJvndcJx8t1If1VFvuprSmPTTC
U45HYl+AOi9rYW90B206VeqxjhKxddRXT9/gwZNeuGX4j6HChc/us1CPCFnk1q+avIfbkTJ+Hfzm
PlABGYcwP0AQ5PDWHmBTQFMYaAnpago34hJp2Iyn16mcT0Esvvlu62yzIQshB84vQtUnchavoznf
NMQAMQW86BrrreqSL78Q2Ny1hOzVZpeFPx0kHAyMqlbLdlLjAOWsjkTBybGOd5ndf0wc4Vcozjt/
kB+wvvl6phaeHJLL+/D/2DuT5saNNYv+lY7ew5FIzIvekOAkkqIoqTRtECqVCvM849f3yXLbruf3
3BHee+uyJhLM/IZ7z2XhcpqYkqgGkTVchzk+82Ewmzv+fjwHPzZ2gRWzvRtYQ5OX6Dq4D0i64p2S
DpbXOuCLU/WKQ4lPoax2flp08dYjSGomwVYL12CFov08iMvCh+E6u4lDyJsLDMxsLYab8sYwEmON
RHNl1HzNElfaJQlDJj2TKDcGTxtrg5oxWKrPbBWNeDrg/7XYDpTxjetOC8W3NW6QynZMxJjLiWHY
juhpXRFekEBjX5T62ehhqkLlvbJYD/02S25rm6hDqT+PrjU/NHCxXws9QaxZAwozUGLoQQOzFnDG
qrGNFFUiUYom/MKpqAwM83xmCV/iuZGeBsdfYGIbySRCur+ZQlKIHG0+pxLduIdzuUcCs+ozLL0y
br82vcbGpuIaNppDYffGyrTcG40g4xs9zFy/JOhViUabN0lzwdAYiyTwDHtlKnBSETkoivOm2pK+
gxmlW8RHrcsXsguCrUe88mZsRnfH3ItTKc2sXZmzbGq1RFC418w4pHp/AztfLWZwZGuwg7B/G/OJ
Wo8LybYsiqKRv1po1lYPyyOU/l2cB92m9FAaEpx4VrvA9YTQkjOj5x1aULq36RYT1LzNi/waWTFJ
fMpegCXj6IZMQcZK7GIrfaUW2PVa+7Ck7KSyrAF5MDYb8N7ntm9YBvU5gBenYZJW7QmR/B4aBHNY
XB4+9Q0fWBzH8uxO+WPeJtmJGfpdwSuK+AfaXV7C7AxBWFpJ9wwKazua1bEP3M+plDo+7vymS0cm
LDoRxzgK/qkQfq0QuDL/ukI4v3/7bN7/vWFQSNrfagRouoKgScuEE+Kp+/inGkH8gtCFTHJcmRSH
9k8dA0AoMsIRv3B5/5pg9nuNYP/CNoB+ny8wgP7/vRrB/JEX9nPLYLmm68D+MFAyIktUv8TPNYIm
9LmVnR5eqO63jlLHdy2CsgzBvNFlzxUC+mrqPH9BUu8obX2Rh0SS9mrg/Wkq9f3okXdvjOgCnew4
IQ5cLSyAi2ggxIYNlsqhXHVKz+8i7AeQhGwj9ryNGVcfes/SrHP7265nf6EPrzb2AB2bgKX8AnEY
vdle5muk5Dw1shf7AnNBmI8BiTRq+t3p5bbHglAqL0Koy1cMXYVfK58Cu5DWHzXbJO0m+D6M7ScT
BBTCyt/glgnSQSwPZRpd8X+8L1ghNCUU8pQ7orRIqk4xTFjKOdGjUMbAA7q3dcqvLvaKCJtFDpJv
1Yz8ib3yYLSVfqdhykiy8MwQ/sh+EFJbY6G2wcBhJcmdUFlGcZzBvVIuj0z5PWjyIXu34wd2g3ad
6X1MfoGbbZfIgkInkscB6wiqf3b4Ao1ka2TOCT7HQ4vRJM/1a1uMzTbJMG9pmFEiTClRNx2rEt8W
ATegXDCuhHrFnLLktIIWV67KnoAbLW5dH//m8gWnY7H3SqsH7eAkFAh4YxgBJVu4ld805ZsJh0hH
Ci+4NZSrxmANz+rMONnKcGO6FYdWEFxn5caJIHds55CUUHIrcN8r106h/Dulre1KRXaIHQhV9dvM
JGTXhgbzzCoidDt00JNjCEICw3gIuw4eoQCnUQ3OQvmHiEH4IJgKw5LyFmXKZZQpv9GE8SjDgGSH
TXUGV4E8XbmTsGSyXsKvJDAuxYHebQblZZKYmgi0jlikDpOfKMeT20MtFMoF1cg5X4f98tE3wsAB
0YM6U66pRPmneuWkipWnapndM2UI/sbJ/mwq+KONp5ML2BVro+NRJqt68sMhxuMTsgTUNfuhwMI1
KC9XDK931bpOtu/aCWhGOD5oyvtFOMqHo9xgYw4AkUqa6kJ5xWrPuSNXiI2FmZl7dFSvXiK/kuK8
c5TTTE7tWcs1PEqaCxUDO9qCLQ3878yb79QgflvPvlJRdozEFxiSqCAsjKNTQ+tqjJjyoucp5DMv
UzLcsr4XtALTdjY6445F9ytorhY7RKyvghZCbG3NT1OofLoBVxYxOczNaePLsptxGZSIlvpxN2ag
GuMSEXFDU6CDLzsCEKrZuYCeRcH/uJTBpbErdupe6/dl8T3uaggr0aGQ7nFwUcV2yXFBvSIJBI+0
6CwSqtwSVt3KzIi5zxvzXpRoSXS+77ZG/+Aa+E+ROh9AuEjCnvjFvXDfjuZRaOK7Ta4XXDV1NLF8
CPL5ptTmd6nCa2sdN2CNTIHd9mDfxEu3JZhgwmWcOF33XECTK7dTVJkL3JumfDDGvn0ionskcV3i
KbBFOzR7I3attzAtrZuurbLwDoZx6B66WjPfgtCWwTmxaLRyL+383gueyQmxN9bELhMpbbYJeF72
Jvs1WNKUESPP3cYCoLfiKXztzX6/IKBeUdXvI3sJ0M5wvY9xyLawDK7uslymou/W4AKWNc3dXWaH
xAcjTGftBJKvSTNJ5ZR8Dxvn2ti0UdoIxJnx6x6oUrZ2Kuee7Ppv+Tw81RYWDD7FOzdgpOn1SLrF
cuchhunT2VpXlXjXJ85xFB+XBJe2PurZuuuCdl9nWsyzFlxIbZTruUvx6oAbIGps1NNDoWw4rVG8
O+UQIbfAouPg1YnT5KvEu0No0dcJL09RMxNZcPcEyuYTKsMPwSyPoAeLofTzdK/kSsWyi/t4pw3u
JVSmoQH3kI2LCEwDQeEGjBb8RTrl+UpXlqNMmY+cfARtzQQoUsakRlmUCmVWwuyZrxIZM/BlKDzj
aCLWRl/nYzmSxVDfx4nl+VnjnAJ0TKUyRNXKGoXciHQ4eWsq05QVYhVsGmxU+KlSu7wr8VdpOFvW
pbCfE3f4SJQFa5yy46hMWcPUHQPASwh7WJPFl1nZtyQ+rkoZuvqk2hI7g6PMxbaK5QtfWMjys9RX
Pb12YcTGGio3E7HMZ0D/4HipQTVrfkKha7ajspQZbndMlMmMptLmf5zYhzU3pjKi9XFEf4I3DQ4Y
5zPdbDpg5dXiB5Sv76ymDrLmv6GrHDC5pQZvtUAw2ij/m4MRLtfDz8Tz9hYGuVLjXwMsc8g8vlVY
6HIZ/TNx+lWqqHIg/7qefOi77rP593pSfdVv9STSbXZBOhXl74rE3xdF+i9AZaAlmL9jSf+YORk6
/S15DiyF0DlS5f0xc1JTY+ZD7I8YUbNe+hsTaOn+ObjTciBVMPeSJmA5hmJMt36uJwfEIxx/3nxh
MtVuhZYVm5bxMw2s4QY11H5uXoapFvI6Kygqpkv9A0LGneWmnBTNwlQ6EtZpKhD/DAlypx4HNrRV
gEezweJG7zzg4bTcIA+qq2RigJe60475HFq7NilfvEVP1polPooaJRFLq2sel9ScY0klWQ3IE0Pn
siAEWRflgJCpIsg3Lkc6WJe2u+d4Za4kr0insQTmI+nugbUhJdPaQ6+CuWBwZ+tpX7hUi4W1jqv0
nonA55jWD6USl+QK+CmU73/SpptQ+eOWzqsuyCTe6ALuvZrvEtDzsWIYfVyLfjsVmR+MHqEtvDSG
zFZTOFxFujzlffXFS+pjHLVvQjN2cOP5ZZdRrokcOJnWzFUxWuelcr8t0Lxg7RFZ5srhODtlCTp4
RNvZc9JFOAg9GXykEfofyy23AUh6R6vPeKdfkjivV8oWxFQ9bzZMQL4uMcl3TEE2o1vdE8TKnj4x
aveuNVxt3ml9MYOD5ecFYiQWA7gXjM9NU5U7SQkhvHEnBZAw3dvqzfK5uG68sZyBkR8qQKdx8Iq2
zKyKvq1QEDHNb9yxQtTDeGaU5jOxFOdeQ/5Rm9VmmCSpv/Nn4NgbKYnzkEH4ToDq994JS99JrcLv
zKXc6qLLzm4m74JmtuHbcFNWSXWNGqIxUUyuiMJjLpSVtkJJEZhuE3Yhu6ckKa+9yEnPsIEVECex
VWFZGdqjyADJrtvXiVxTsh+8VZe3x7DpMn/QkEe6No+r22JHRire4edbxN7JinhT5i1S2JCJQVx7
TNGSuxSVONkh9jEYXXKz6nbyOyt+pzQL191QvjsTUr524hptCRzbExdgMoZLU+psk7OcvmdFPEIF
8j00GamGQDMcnqnSkHuZ5+cuwNlJuA583YlQw7iGaYFZ7Zhp4xU+9mvhGMGqmHJ3Y2GxzG25Z4HU
rYfQo3yAkJtp0qKC0g8Cc9fKrhDmALaPGPhOl5ItUFN2zWoe048+6YmIJOdgHu8Ss2dGFOafHFK3
JM2h2hnd22G0xIaYoYaasRhO3swsqTK+JbR6q7aK9kY2fx0T7xYj7UNckPYAt+w1qzsEf5oVbqlP
Ewpn6LDYHV6R2FxlyIANPOVnsgA4wYu8W/rRWctMsxFltTRsIV1cFDLlY3y90ar0uRjLZ7Y76E4H
5q4ieWPEhAetK2HflwH+X1hzuMufkkY76uFw43q52IjJ2tgRolHsXITV9mv2LjoWC+21q+edsnuU
DZEWo4MoKwqdl444VUp1w9sPFQubltzM/ajz4NUYZC8yLV2kGKQ+fvtnzPLrmOX/vRbP70j4//1W
VGqH329FtYkBke+w+1SkJP7p91uRTYzESWSTVM8dqGxQv92KMJkk+WOCk9b7v/3Nb7ei84vCrpoQ
6C0bBxKrnb9zKyplx7/qJ6Dwe1zMEoo/ftA/Z8i7DiJwWxPLxcijp9pgDJBxiGFBrlkTLvnWre2d
Tm1lzdp6mLwnQHaMcntoicisHhOXeI+yO+RJsgHKFxBz7sDU2cQKi5wpQHIpxTXUiubQ0R8AAckS
7atk6IfXHqd/dHSCIZ+gYAp4EJmT7NuOVjDnE30VDHRxgNsPY2oT+wXWhsAkTEmF4VcR8qh6Kh/n
WXuCwvcFtWW/EpJWRTS03dpMtop7o0MxhZPy0UBbstJiXIWJuK8SeUe1/CSHtvBJmKaN7NLzUDVg
WIPi+9wQHxERthSYDKRlkxuMfKZL1+jvqCbJyhmM3scX860e88XvRECVPbmbUHRwFspI36aO7fBp
1sz5MCKAXDP6Puq9czFAgvd6dFx6Z41ixWF0HyHx5koksvY5Et6rZjo4/zMDsnS76SxIiTEx0k2y
fOmacTv0enWrB0q5V36XKFaHJr73ejWoIYYHpd5Bz+entO2PWjl8Fw2TGqHNHEmG0TO9Z66rkfIN
Dj3d160GBjQiJXjGZB9gAAM5ErkXOVfzeplrXBUdqUYEL6075fEq0f5DaJk1kl3JOy0mkk9Q43xE
c0gEMNuaLsD3BbiKy19SyBv7vm8uQYbX02DfgPi/qStuNs67XWeBQ11xkR2Mjsultc7dhGnWKKVc
R8WwNQFtp6gk02wCjsRZnhTTe2hTJ/E9ycxW4XQK04rmDSWO9i4aAMTNAMhIT8mMYd+G79c9s+fk
KhQgkmQf2eRVGdy6RfMQtYF5K7uc+bkMsbU75E8tTb9Hzwrx2s5MujPHdxli7QoNE0jG83/bxy69
hnnQ6vaJ0nIvevk0Dqi0w6gVftdK/Za1QXKqipKph4cKJ7Ig5QUDfKdiAukBhFfF8enitpoMeQWM
y9gmHXaeWe1ZPt7kKYXAVMt3TNsWm5o5vjhIk0kIM7ezm6NqbUdfJ6J6bY3F17ktt3KIX8qQS9UD
BRoSK7VOsjlDmAfNY8p/bXr+EtKnKuM/JrEwAYXJaYNaC42XknX9aRJbGRPGPc3TL1n+JTW/oe0e
88NP7cTdr9/sv4o+vytR17f/89//4Ud4DKFZWnNGwnL5k69yrsKpRYRgXtL2a5/ezdVj4Z3+uaN+
3FECSd5ft258JvBC/Pslpb7q90tKR64HuNwwpUPPpdb1v19SErkeRHEH3p/5I2Hz90vKU/0e//SH
meyn1s2TiHwcZATqoeHW+zuXlBIS/vQA4jPDtIaSASoBvwIggj89HRMhDWQ042RIl8qZD5CEqfaG
COLQhfxfg1pTI29+76ryU+ujh1kVpClTbB+HJq1WYKOQz+p003ud6cPzFXuBtZJhKQVuT6WLMpDT
mdp3UUVwbkRAhaiLsx8FMpVyoipmVTpXqogeXIJ3XVVYx57d+mmvB7RclN2jKsAjVYpHNm2GKs6J
lXoeqNZjqnZ2CBxhk18MDIxqBnyDKvBTKv0FA1NJ5U/paK1i1QxI1RZ4qkGI6RS8pLnaqnXoc2kz
xZZ39DE0I6rBIG27ALOUlX7c1t8NuhBuz26da9h65s9RtSmzVW8G1biQf3OeVCdThBS+qrkx20K5
jsdqnVZkdhml5jLvgoSnD9PRWPCUSDqlHrlUjzcKhcJOp5Nq6ahao900dFgy0Qci7REYN4Px2ZFb
lsI3XHksVRfjVMwki1mAFUgRJInTob7P40e3J8Ury6p9noabqUweM7a1JNldq0YcieZZ43omJNrK
rwNvaZ+bEZVw3BS7TtPdrWtXN7qVfy3aKGMtGZwE/moi27G9/PBcu8p+jReoCt5Q2DN9BXKAQ1tb
urna5To9YihS8YIalMbOZgMv2cRPaiUfs5sn3GPrSNjmo1rbx+zv6x+LfLXSz4dp383RrVkE7kYb
p3lbs/9nmwNuxZ1fbeE9dst01Qf9zUAxAD7mNVYSAluJCRxUBbGcbkYlM8giNAukzDprJuxUN4gR
LILUEtQJ5FnvcXxrpx7dwqwEDPDdQTCE7gUGJjmz0fLd5BDuo46bVAkgOiWFAImlJ6VJOnv3NCix
RK5kExn6iVQJKSwUFQ2x0Vzelt8osYVWRh8htC5m7POydUd2TwnaDKm1rzFjjFKJNgol3wA2t6qU
oKNT0g6dGOpJiT3IILmbUX8A67ixlRwkQRdiBVG44fZ1oCLOCOlcth7NHsyUs7a78qawVKOSV+te
CU4iO/3eokCpUKIMbXCyM4qvdE5uXSmOlRKt2KhXoFE7K8qYYZ2gbGmUxCVRYpeaNQt+ESo4iRKm
SN3XBfx1nlkHJGyvhpLMLBrKeC1CRpOhp8EO/TBJDY3b+FIrwU2F8maZ6mOgpDhMHl7sKdhBRH3Q
bBsQu3vRvPYaCfuTYfttjqYH3Uq/XpTMp1KCnwHlzzCUO9zu+5AJcKOkQakSCfHpsd9adEO4x/v7
4IeUCE1RjrbI7tjL/XO1/bjalDrtr6+2h/eie/+vdfb+n1bd6kt/ut8kYBvHotXiElFom5/uN6oN
rjwW4Yo48VMT5pBTZrLRZhGN6u1H0MZvTZj9C4hEQ3o2EBvKIvm3xLGm/m+jSSQpiHNZqlsWP039
Ej+PJh091BFdWOWFzwpKCkWB0cd53kwT1go5hTrolnSbGfOhyBmMrbwies09R8Eltq7XYeMobx0U
7ImlAV0INsIEE5YlTnnKYqckzbp5mgX+RFwjvtvO88olYnmY00e7CS6J6Bao51hjizJxWDsbS0hA
vGIFZC7LGWzCCOI5Tm+XKB7w7ZB1E6EvWqcWjptCdEhDdG+zIGAi6BNgKOFfSwDN1BNWuSf7ki0w
Rfc0o8+ZOXMhLLSWH00dhNRBfAGS7jvJvBll1/odZitaC3Z0VmN92Pyd4DL4voT0UAUPpMKKaVRp
ZsmHF3vuZg7Y6SFOSZEFRAfwp8Ehqwg4w4y4KWFK7EDYZUfL0sZTEEcMogYC4Mwm+RLXOeugjBqe
/uFSat0aciRFwoIJ0+4fm7i21yRVfLGd8FLVOmMcYzyZU1xv8UL3LBn49BcaUPHRFPXaa3hN07o/
V4z21ulcsiofNIVSuLEK+ZQnw72XBPzeUN9Wy6jvHaNm75jG3/B7ncNiuV1kPhADguyxTxpEgNo6
YNpDDCgrychFW48Hfx2mBIcsU4cvLEixoiKLqgjz9DNpH5LOvqYBBzV6h9GXS7ip8UBuR638qCUU
HynaW2kQOlGz8hb5Kc/ji571R8NYGoKh2iP+/Jkf2t7VMWmMbspLIwbSi0wuwbaAGJhATq6NMylE
aIqgiKxrHNr7VC/8tNI4+rS7dCrbM9545nSsWde9a9+Ttn72qox19IzZ1sxNGtKUS8QgCHOVmSSl
JKlgkT4GmzZsHydvirakTJxDM3ib6wHcGTZ6+Dy2b3XiyazrN8a9jq9n4DRqLBBuHF7Z5530KfeX
cLplzPWtscfKz4eW17C1D2HNpnixrVPXt5f4R2J7+SO9fZ5ohR24tV5aPaUKIDQswxHWp3kusHLd
JKR7l6m476zmm0tj3KBUq0gBDwvbr0gF90gHb4Q8lqSFx2V5MyXtLa6Pu0HFiddt1O+ygIhxm6zx
xdb6ZJWMBgqvH1nkJiUgtublHNYN/gpcWNswtqbVaNj8XCAcWbMbnaXdzE60HxfjrrFeWw2KVd57
XwoP2VQSHhsJrTPvLGBLBtuC5a5f5D4YYvSbVn/lsGP02flSYpDTYnDXQR3c4f1DHYu5NGUlV/bx
PYrfdTCHD0uFLs1uEL1FBM2vZINywITPsvNC3dg2MyQqI7V3WRiHarPKsSQjd1POmUIr8+QUFbbr
grXfikyGO3fSXhyz+F424hsKznRtltkT0tET0SQGnS4kP0td76IJUKgm1Ve31+DppdE5nlyOCSHu
cmr8FRWQfiFf8RPPzbQRy/jZtyrM1Z7ujXGuDkYxvOkl6AiTci52mLPXaO0wIBL+AwrKbM3d1IfP
xeT1PgyxbeXOO/CzvqiaOy/OjgJFydLiZbTq4Jb1euzHdrovi9m7Qcv4xe0xzS8YGw3PfNQFFmEo
zK2/1Hq1qaZk2tSaPE98DO5Q2d6TOL+fMjNeF9kAx4rYMKkUg8x18QY4nc/fGhP7iqPYi+v3qKZi
7uZuYu6VbTDzfg+9j5jNd9sZ9ymvCfcAFOuwICcoc+/yTm5FxAo1GFRCSuA0JImN8Zrc011U1w5M
nwwMbad9Qy29wRlZ+5YV3mRWeBslGE7tPh6OpqYXG97Qec9M614td/QctDToad3vXQQ3E5jj3m3C
w8ToPtD81DWOEcs7BaR+E+1CyZQj5ptYB4XmtNUiRBJxsLOXmXCZyO7RX5CXDFDrI5URrM7W2DWW
s6yGugY1hg6QTclDb00nFm/swox615MtZKXV7VhW2aHSR9KTpnsBMYP4yXmLKe1Y1kQz6dr4GC1z
vx17+Zl6PToqcGMQwRPACZgM/qmnftRTks75r+up82fz8cnk/xMpcDcfvv3Pf/+6G1Zf9XspRZAY
fj9A/MocpJayf5RS+i+4j2wTtudv9dJv82wcSKx58f2x48URrwqcP0opyHuGQzllkPWl/IV/Z1Qg
1Szqj1kVowKKNVuy12RQJW3GE/9aShmaHIkFStOLLsyu4ZCOCWuOh9zUUAKlDuPTHwzVvk7qq67M
9zIHbZXvp8NBBMmuUHIxBYMAxhopKmsFnpW5SXMUE8yll0ApSOwOsfiMF2sN7At5CZMEK8m7fSUt
+lFEKADoL5OWDUBO5HvgsMaymvRYIVwp7AnLEVIWKDg7sFnLtnenJ2R+32w++pVR8g2MpdqHk8XE
1y3pz70rKRnfByxAG1aSZHHr6Ggq9nBfAqQ1mmkAiBBztwb/enGR34x5omjCDAtCpc2ZGnc/2Kia
8xSnvi1fYfdx0ZRc7YPS9pRlPWwYNCb7ysizjccWFKR1gFSnjl56LnPA3bDeQ1VyLNAPt0bEkcQa
VMNiYXfRnpFqKFZ1xbR9BXFqxmWhZXtyHSsSwxNW37rOQVsX4b3TOdOzPeDQLB3mo4TPWpcYOek6
1GP9lhBFws5MeYe9CqxhCxHWrqGRwLVot1GZM52geqM8TlwSd+puX0gDhUxE5zwP+gSOIQ3am0Rv
iivRlcbRrRqTq4JdX8jvUNTxjelotn7w0lZLtxJSP6FGqf5Vrw3T73sNJ1iSnKOhXyFORvzJVDpC
eq5SdraCSYSJBHtcTzNJ7EaTfqI0fa7b9FQKJIjQxncZm9E1ptdz42nnVgMAE+Wxb1UZpujippLN
q9TSUzLGxJHK/NGAHL+Buv5hIuSRoXMLTImxTdQ5KbrMGb4HHa+BncCKkuWsW6JYiXTcpKq8Ncwh
OKRUvH0O0Jl8rQKumHQ3+RJ+LD8KZFGWaEMpmktVPluqkMZB80HEBcetKVL8YpTbRjRtelV/5/OX
UBXkRAhbPruChIU95TqmmNtOFfCuKuVRcsWIbxjYxPyfqtyPqPsdMt3XoHtR5lrQ7VzVHsyqURB0
DI5qHVIC6VdzlRIczvLdjifGRRYKsDgDRyNy+WZPOjKIuXwYVTyyN8MoCIrWWdUAPD10bHQSpqcO
/M88CL9lpZut+XQB1JhJvtKSux5+C8+A3OiC5Urfzvmm1JWDtRy9rcujD16L/CjRdPh8LHLNEYKV
C9MeOqT0BtpN+fjP/fHr/cHc/v+5P8gp/mw+5/9wg/B1P90guLtwnXoeRpZ/odMiIcILBoTWtm3C
vjxa+N9uEJsoGiRgP8bTytz62/WB0ZxkJId7w2GRqjxrf+P6wOf25+sDhZkBGNflNlLz8D/FH+VV
ZkIBce3b3FiGLY5uExCH8+rw1JdO/4wo7gtA/WAGqVfrG1m7174LvwQqD3tmHL4G4+PXRGXbp4TY
bGNMv+QqR1tXidoz0dp2h1WFlQ91VLIXIZiqCki9RcjGOlLJ3Cz23jSV1a2r1G5D5XcjUghQXicI
LDH/BGFzUyiecqLAygCWqVVfF61DsQx5eaSwnEExe5Hx3tj6yzTAaLa7SYGPoDYrfnMFyLnvWeKC
sR6eCdx9YwoZH6nfg40+YqISoKDJT3sTig1tAokOFC3adpnjgo8mQvfWA30xg5X2ml0KZLpWtGkr
Gb+QJfPqxtp+BEfdNnCpHVn5HvVuDrNaT8igzWbmAPGt2S/rWsGtacq/ldCuww7sdW2Pt148El8T
y4NZbrGTrqK5XEv5ENbnxtlWXfpay6he8Svu2haudgdgO1OkbZo0TiFF3w5MQPwWPO6B8YEKS94l
gXayFbO7VPTuIO43Y5ncV2hOmG4sW1ORvkEv7mtiWxvFAO9ky9nWiF2j+OD4lu9m1wOhKeyVUAzx
qGDOrajiGXjxABlVa4VUvU7zVSgCeSvsUwQSpQRNPtmBp9TcpxFoOdFvtwxlfTuxUOIQSTiGEQEl
jg+vB3eDIp9nioFeKBp6uFCC2yOEmyw1axB68I3xUuEwViT1WTHVuxwlbOe8Q8M4IGrvtn0L/Iut
L2X2fB0dm+QYPV7btYHHLKnXZp3cF3oOdYt3TquMLxai0ppgyI1wbPdUa/ohc8szIJ03lvJPUQsB
pnbZPI5z4C82XHpITFwNDRrTNOkOw0yA0VCnz33MZbBQkimh1jVAt04y5bTPEbdsmxAF+TLbI4mA
B0PGxMU67nfej2NZVRezibapLXaWnpHpEuWranDBzGXGQ7IUb5keHzt9PJeLHFZLV9yg+D4J7J8y
J+8lE9XBHdyvSRsevCjEtYBAzXbbR1BWD5BgvsSlfRBFedM35ifk50OK80wTxVvRZl/stOZFXRjq
GM3R6MtzP7Adr9LpmuXDbgrA9iuc3jLugakf9Mbc4r/b12F0E5qiWjWzcayy8Ti24k5EJvDUpfGD
sHsZQSOhAFq2ccNcu4fGPC/OTePJeyuujmk87M10BpuU5f0hGeTFFM0Zpd+lqIaPNsbL54byoS3b
Z1JkjiCvz31k+lE43xciY1fEhz7NgBaN8XOYOjtSg/a5HbsHNOw7G5giT0d3NgrCvl3HoGQJD/jy
r7k2BOw8arJymgP2whemaES6iCzzPdnfQ38l55pt+OIg0SqW/IX6icyKAfQeAwTEWzSFxdnI7DdW
Q7tRo3DxyI6Ih9eC3Xlrie9LS4IAIMPN0gYvMSBeRM8LfMh7kmYZRbpjJon0JgtpngzjBqPEsmns
7EjuwMn02Cd0fYdD0jsS43sxh4yJ/DyukjI8jwGmitgrFJLRXWlNdqsJb1eX3m1T4F1wx2mb10Lf
xJb+FOv9adLNZyPVUEokDwCYbN9wra8VvsGyDZF5j0irtOdJDBdD129Fiv7aVpmZ8/guNWQmcRXi
HoXUV3e8F41O4EsfxqCL8rfKMM6zl5PdFKtFQLJjjjX6ra0/ObYgsWNYRRGNQKtdh9imczcfyW7d
xPHyNcmch4W641RYdYWaLbiv2MNpSvMSEGJlLtabXtk7RwYr0xitPbM8E7fgJPcpdB8pw890xnXk
FArE58wnXUeZruuVtRUxCQQ1fTUPRbWWEwI3OxT7Nu9f2jF+qIvlNPfhY9C0e+B9xN+M7lMxxjv+
ZkInsueujobDZN6ljKwSAZIusWeOlWlnmeVl7MLHWCyt79rDXsuWXbfAZ2xtCOE6yEWPl0a/aCCO
ABDNV/gFDym12UZQa/tuo+prHTupYZ/bjPt+Q7Uns00/1vGTBTyIw5/mXhaMRXM0r9uotld5vTDI
cAc+ncuJ4Hu0cg1/ErXovpmQu4WFd+fmlsvUayg2ixbXKzmAcAoHcGQDwdsD3gXTLpItNwzrJZel
VCVVtRjS03T7gAGKP2WIRcrBG24QEoJPgEtYNO0BKBmW2ZmMOIOYGaK8UPVYWfY8lKHE/2w3vhO5
xVaPWkdb5YnN1jQPTzSb1aWo9e4l0R2YedbSaLR0o3VtR4zEmbtQRo+ZicmMHlSnb1syf9G102g0
N0MV3xFTtjWnZONIRLV1cM9A8NjXEmUKa0GZYeQs9PqFKKRk7YTjptFbDOvptOvNgISdrvs6JD20
ePfVDIzzMM5cMrGf98O2C9gkG+1jJYjDc53onZP1SRjNPhiji7CmzyAxjhg0qK6jeMODRPStZrxU
i3V04vwcxJmxtp0c51iKozW/GXqu6GYm3/TXpQHRPWl5zy4rxsuwHAjGPVlTvEdXC2uzOuTeuLJK
kYKrQfhEaurVG/OHDt3YUM6znxfFY5GNBWvq9Cji8SCEdoY1tKYU2smpPnSBB9omOoROfcT99Uws
1TErSGw2uGkNd5u61YdKb0rS8DoFVAqzVbF2iDagVJjmdZ955J20oli3PHQTUbwAIj9Y9oSr1isO
pYjvGxUSI+M18BEiBHKsLJN4aFM4el2BBnyeMNY7rDLQXgUkNkHFU3jIFj+tvs97+TK4JjsWfdoS
ybU2aHwpLeoV6tH6f9k7k+a4rTSL/pWOXjcUD8DDtKgNkCPJzOQskhsESVGY5xm/vg8oS5Zk2R3q
tXdVZbOSzES+9w33nsvpnjykekdfC9lxoHF3EiZWXZDulTK+dxxoo/Z8Ce8qxNmg3hKzt9Hj8mOB
QH6lZ0zrlT765NdFD/Fx6OgS9SMC1qMf6BjQW3MdxeVa+tY2dqK9EwlnAxoOuPb8Vk7GsS0JV+Z8
by9MjYclKAaDVbbF2hV3/dqfTPtUqGxiZbcuWPCggRNXqVQu0hYJlBLomwZWpesTv+PWjch24WQ+
GkM83TicNCC+x4txtLuVgpx1BH1UKuajpsX+poyqBwHlxRVmt0maPvXyhr/a9skbWY4e+HZuTzrj
LqgR2DJTOJT0p4Q7zSdFq89LNYBcZyK/qOrsMw09ULipyleS/zYlrJX66iaIxnKbziQZWDAMpra7
mOvl1jbkw6jyRYvpTlf16KRuNcmjmkTHZGD2HMuQMPa5ucCwv+ij9I8abqizofavnCZ9BIgtd8vX
3USQyG6N2zxByvBoh+0N6IErdRijCwdkHYFa+6AUtwxl3bkwCG4bum3AhkxkyUUVCKLkJNNRI/vM
5CblLNfWgW7fJuy9I+xjSW9SZ2J1brT2YVKra8ati9LSOsZqADYgJo1JTojR4/sqdR7lqF+jySnO
DR3sZ4cGbqO18pHE473TqMoC5M23ec//sVKpmwKo3KrMZb+LUybPTV5yOwYyE/oNQFSNNoKkGLm2
00lqsZfoprLW1MhnHfddx/d/C7kAK7BehYu3wPYdHRXgj/M3LRIC3m4enWISdfL80JAX5vzh6v5b
QdqPQz77jxcxVUzDuq7SSv74Iok/1mAom+gkJmI6DgIwpCJv2+FLG/+3L4Mi6rtZ4h8vYzFElMKQ
iwX5x5fxhXDoAgSFu/Z5KO4U/Qtz7nf+/wlXRe6G6o236+f3qgHNVRRmlp7ygQcN+RIyrm/d9y8+
i1/8/pYtNd4h3igDM/ePv39gwT7VjSo72fQdxqXxh6Lub3//hdLy56z1r+/PT5+1NBM1VDhKT7jU
oBQn6qa2VjgDxjfWc//8p/zipSzabgTRkhwaKFI//impHbD8mYvkJOIdOlCE+SXGaulxDeM0/efX
Wn7tn/6sHz4Wpg3fb+OFGmU94X/pqdQ93KAGfVfLxnE99Zt/fqFf/VHff/4//VG5hf6os7+8kI5X
EbxpuOEeWa7i8v941pZf+uc/ykFhis0KrYOm/SQx0NlDF1y8+akhaDZ97se14b/+85/zq8ftu5f4
+XGbG4NaiTnlKbefY/9RKv+Px3mRqFtykcuzgfjxcyHv1WglMQinmBNQZ2k8/T8OL6RJwlx2EegX
l73H9598ruTU96ZanGbrebCOCPhc0d7887v0qw+dh5hB8IJrU5cZ1/evgVu8zCdiJU81hd/kYZFW
jaueWNdyhUz9t1/LhuOE621hNzJ/+vG1SHlgyEbKIIk51CTrqIBYuoYvX1BjXb+/1L+BXMuG6duh
u3pGcPRlPXZ8zt7+89/H55Kn+C8LM37m27hT+wBCjzvEQjTI0p1n6jvtkUn7zbFGdvwXb8jXcaf9
gUUa5pCvClp+6uvE0/6gGujmLHB97OHE72U4gPziGfjzYHjX1qIll8tejqRtdN4/PiN11WTS6LX5
VJbkRKmUGG7NIp6iarpT42rrLysKsmtXftm9iM5/iswRB8goz/GYpZDIlTunr1bCmA7GXDJWbHHu
Ax52RUD+I8CBybcvRRpAk1U7bV0NYotC7jDoxkWRFVs7cHbEGqNCIqjBNpmj1gHwLrYON6ZRdBsM
Gm+KmZ8jQkZZ08vgYC0hDxiqfNeujPWkLW55lD4ZEQgCoalXavY9dKpLCv+Twf4Pz3qOPlTvU7zQ
09YfUSBMhnOFhOImoDwkb8xGIRsXbpAWghWIfBuKID7Mc1ciQON1CNzdzkodeCTQeKyQdjQtYgNo
npFPSoBFSw2O/y8ozzoRJGutJK2s07BfJWEFQ9fYOFX6gj5w1U786mXfbLuKkBivkPF2RNiwsUS4
8KN2dZ5DKWodTHnhqpaputem4lwXIIJVsB8+s15Ul8SL+QkTxQQnpTOYN5UamdgE6tZjcsxfQUYy
wERznw8d5MDZMWHnG+me8dzRxCOh53nrNa3/1AT2bUz+wz5S9J2c/DeqlByK1EiGlpkhk46xnBfo
P4m43BWh37CQycQts1BQ7aOxp4cbVzIor1nw7UZgLl5IsDNo9qbyiqjx90wvEV+LBPlS7IDdByKA
hGyCTpWCTwqS11qlQeurRT+szIsBVUV8bCTYJ7CZA4AJVwrbzk3/znkjrDk7JLjY9+aCgQswqXqD
Yif7EkbcaAGL6xdsHLVpvG2hr1e7ugkK/8aGDHJGXtqnQCkgRxGOcAaCMfLUtN7XVXDLuLbmmNd2
UsHFyfm/RrtjrHubgr/Pi/Pcrg9Nk30uRqQKch7YBPcPZcN4yJyJaNdQckWw9rzeLx/6xhaEyc0X
XT4isRJLCkEMO8IG3lJA8hqMQz7bfCWU+3ZQhUcOxS7W6FzMQJ4sFpUd3EQjYoHbyKRwWVVuY0u7
SJHOolptn+bSP/UiuUMmRXK64e8DrTK2zGHh1qpVtK7jotlEYf7siOQQBgSFpAHSacc55Kmza7mg
vcFCIuJHd/AmKi9QAsS0mvikR+V9n9grJUgnt4a4+9zXBlh15bGXSxRAax904qA8rITJlZnIp7ZE
K6VanxApndN6H2dVngdop5ClGaeRkNNDXmcg8phvlZZ5ro/EbNR00KQ4X/cBkVNJNMHRuk2UtZzs
8zICTtbHjeuHKMfyUrmNektFLZNe2ZGleFpRP5ZKex2bne8xyroMDb/wTL1d6QPMGWTqimLuSLSF
iu0z6hZ143h1Mrlp6Bzgi+2tPjlFUKw6El5rbWjOe9Jctkk2PzkmAPQWZT7hRozSYjgu8eJ/rS66
Yd47ZfSCgkpgjFbxBQ0OioD4pk2NF6cOq1U3NkxMK+s+UBBMqZnPlxjyt6uHLQt0zkKIeem4bXIw
Lsd/b9z3JaPBZff3N+5th9737a937vJTX+9ciLfYlARlnEaM2eKR/HbnQr0yLChVDnZH1CaL1eXr
nQu/iuLSElyq9Bk2ot5vd+6yZSRNE68kEswFq/k7W8a/ogh4YQpZwe8AMIH8pJ/u3MCv0ENkRXec
U3SyY9Q9MYBmFpS0liv6dDXV6UdD9SNvKvxDhAl9ZahgrLjHLrOm2BOerZA6wpBwuXkbJToPOzIj
LFbahRbdCJF86ok1QeDfE4SgDBlrMI0lCuErvjADVCvMLEfxcZgx/jfywakCJMGhI+kM+GY6yrxh
IKRwV4chSkCUEQEToYjRFYrfp3Iq7vow0twCsoznm+Z9Dfc1H/OPraN85I46Z6R+0vXo0CfhRVtE
T01hE9QCNajWjdfUCRAq8IdRkUbmVtPYz6jFYzaJaS1jpnuAexKvSoed7Qx3k1bW66AdNlLOrCJi
feDMjBjUKvYnZtfGiovuomnTW6atiA8CY20k9jWJ7J9Qgl4iqWQXVi2O1SBu1z5APbvsH0SSv2Jm
f/Qr7dQU+SuuOVhKSR2QQzdYu8bKLoPS2cE2cNmgPKVa26/L1C5XgwnobiiL10F1DuCH2xXx3YNb
vgtRJOHvUYWvAgn6BXPRs0r6F6SZACiD7DgVwwZvKtgFZxdoxvU0958jGb9ZWX2rR8EWgO5DFpDa
Lix+ST4kR9SGOwzs1DQRM+ceK/PK7JtD6IyfUxrHlU/RUwhfeF3NuZkJ7aMMjGvZsquzo+RWBtrn
TjP7/RQtP26QPCP17iFTWNgUIWwKw8RXSFGCWCbemmb6SDmCLqbsjlq4zLYSnDcMtg2X8FGuumQj
AIKzXxNbPC+UGUnZu13Jp4Y0cfA0NseEwujEZtgbM2qard8QhkHeBxichKlcjB3EGOZrC/ThkBub
rpJsJGd/iWZClCJa5q323MSrtOOJM6xBQUvCQzw1fIaZVgZsROYbKOi8am6TEdFvfNHdzLZ+Fg2U
dJaWcmtWfrAKUsSTfZe8tsX4YEODhrpQvgiVLXVe+ITqLfonEe0AJiteoYQ7kSvxSrGS3BOi2OKl
2aoCznMjFO5MoIuu3ttvWVxdkLXUuzA+S+haLXQvBtkaRKw1MQh3RUWBtihyeRozl5vpBVYX2U41
kfVyRp1LVpp2LvMkX43gd4N9qrGlXxFt+5EdQN2vawV66z1vg9+etHYZ9psRviTTz0R+a5HIQyB3
W9IjEsBIGi1JNtYlMWqReTlVUXipV2PwGHUkwqc8Qq4MpX8smf+yTCLWaRhdYQS70HKCm7ASBOg4
xnglUuUM4XOkr0er1w3iaNJ5NdpmU+07SwD9qqKxZZUo9JR6cMJfO6RXjKxG4idjXXtIBqZjhzQv
O86ZNFRXo2m9iqBjSUypXaPxGshtm9d+InGgsR60glvxzr7XGKmTKaHPWriqRGb6T4kRhfIgcFwr
buqMXen9e12+X5ca86u/vy6Pb/3zp1+1qPzU1+tSQ9MJI1oTUltcm8vF961FRdNpLwQeSudFWUn3
+PW65CKFDGmjtgQZvfz4n9clZEmyDxcJJreo+nuaHDKo/9qhMn01uC1NhEH8Fj92qD7pILrhR9Mp
yi/1CQeh5rMcHlvnbpy1wRWTRq66ll/Yc3ptT/JlKlOF7KtZxSVOXB1cMeFarXPWJM4J4GXBOtB8
ccLkkHbO/TyTgjRAbSHzrlJMMByO9ZiWWQlDxVxsOKQpaNlFMXDz9H7vkPfGMkZUoQc2VqJZSe5N
dJYbnUEuRtPK02h+uYaNhySlKpzmF4XUqy+RbFV3l0TtZe3IY8RaZCsc+yZLODqKMTj6fXtWDH1J
3k9zrtps9Ubs8NlY8DfPqxhVPPk5+84ONwzgfaJn800eKh+7kg0Wh7ShOUempJtZhkwSLULckdCp
6xlMUIxrpbIB2OqIzSlIPhVOdGoSzqUgqiY8chmSP58vd9mQ7UMqlhHraLexz7oBJ+PaUYzHbE6A
2BEgjfhPpGcWN+yqGtRmpeCYG60CL+2wSHEcY+VMNPKDM7u62t2YU1mwQjOoERCKeEFUS/ZIHT2u
2xkFJIDRRMhzpw4Dm4jeNiqwsmBXwnWKxa9GLBTEdGdwfsDfF4hkKkBGrKPXSUM245LqNPTmumvI
+YJNvB2F7L130rdvqHfSQtifWfKthP+disZx+3Z+miXDDbPhwQn97q7N86cofat9g+sae5Ehm/3U
dedjDXXSjPMd/AplHSal4apWf3AEZLQE7Qfy1o+TJN63RIyTGdNzpRrVncya6yCTNMR4gcth32nj
doxjfxcZvo4Jw99hWS28oNLPpy5RqbRKaz8pwJLmzL5X+tpG8qpsBkfbiojcTJCF7M+G/eyQYiSK
kpskIDmpx64EY2obETbgkpAObNff6J2xoRTE9FF39zOL69TQPhc67xn90AMJ3BcwSu/wkzwGWX05
hknkja29S/L5oamxmYki3KE3sTywnet8bM8yzBcIAuaHnjxfltDP7RSt4bWeO3G0UqPy0Yywl/g6
SpJEsBtO6/SW7uouZA5MEJNs+NWS8wQiZDmr5C9ZjxWqXZeo8EON1nkOyQXXIQ+SGrgV0+RlXfdk
2ME1dJCNpeYnXdJIlsQyVOasXUCt6/hPOeG5PUamYJPknxIkuh0LsHUz+NsiGha+p1yi3KbLCI6C
TXHkOkNHUpvVPMxdg6XB1J4zsos9QyStJwB4qfiD3b6fbs2ZHnsssJrqtXWb5wF5UOJxtsMDt9GV
rsGGpm50ncr5xI28yxybx8iq9sgOeAD92zSexzVJLTDl8Z1HvXrLY/yApSTkWCiObWReNY7+ycEq
saYmvyx8FBJZo0rPDzQLDGBuuKmJR82GNYIlYkwvp8S5ThLOFTa31d7vQ0HhrA6b3HReRr99TtLq
0ldr3NKW4a+aQfheNlUOUwDjvCQC8XLW7S2MjxBFdF/FN2WuvvoTbpQgme/morjA6feislTvcADv
SNFQ1m2ikYkaEGpYhs2G4M0c4mr7VpTWvO6skHiMpARL3lb0wZBPXdOx0OAaRJ75sr6YVeu81dSz
qFP3Ydhe1wgzyM/S9+aMAbBTzouMvzLCm1K2oUAsocjVFBCnFmbUKJb8sjT6dya93NB/f+Wf6uc8
+EWHvPzU1yufDlniW+XaZ0OIJZY79euVrzJglgi0uN1tlhSLWfbrla+D8YMUjUEM6MM74flbh6yT
s24C8aM31hfQ0W/B+hDa/nTnM91mvo1AWDgaHbf905akMqGdDJSgiOlV8JxzmsDhB1R6royVOM+t
BhCnIqbuScbhWeRPjwTkzV5JIIkOIQtxApPgnRmi5VtXuoiJOKrK9RhHTHbILiruaSMIOFHfw06Q
WzJQhj6icWiThgJEIHprO+HD41+CUoyGsVmOciXnfNyQzRtX6zZtMJiltQT2WseOeTZZisO8DpAu
odpUCVFJLnpsYKob6/qzYgcA+uCtuUbkIxTTOERsgtDMKWV1rTMdTXvusGaiEQ9rbFsoq8q5YMQu
mEMPV6o+X4S9s/N15QIr3V4Nwv3I9t4zTAzD6IkMr2j6bkU3H16U0tyKUrmM+c5fl7593pYhl1lA
GRKgHLjIm6L2NGVI1pMZx25d0v1YVXca2+akJCTMDUgc3Qm1EmfEsAYrZjocTS2QmUif6s+J3t5E
qbhh7ZEZKBra/FKpkvmgywQtXrkJSjN8gDPtWa2NBdPPDr1MA1cvSEpooPVoJbIarbBR03RUC3qG
3d4Y8OZxO1jVrK1qJod5xZ9bpqaLUQEq4WyZK03Nw1MfDFynZdwRn4AWZ1SKa3NAw2QO9GtTTcRz
h01TY9sQKQfwwhvCe3AfdKW8axwVDRd6pZpzbcNKAgcqgV8j0k2cLVb5aPgdqwdVYZzv5lrQeM2E
bPu7r+Lll8XKP4BuJItJmwW2yQidgpvVz4/FbCzCQSQOMRGaCMuNng7aczjxPg1Twv7335bnS8vD
mfT3599l+vz6Vv91QrjsvL+ef+8tD8yzP4wGy1bs6/m3cExtSb9jovx43699O/+cDwz/sKlhtmZ1
K36Clars5cSybIUVwKn5Gz4Eghl+Ov8g3gDys1kS4X9iU/zT+UckDXN3aQ2nFvYScaLJx6KfrmEV
gw92glOmVvErX7EcRrR+Cxmb4llX2HVYw2clFBusEtKddayyAbBckadIJi20kVHtv9QBS5oxXQyk
XX5N1FVAI1L426H3D4DwgaKV1guB4jdmP38M2YcgQ4SzrZXEdRZhtkus8kxfdoWZBTxbd/LNnGo3
vBZsSLXDc9yR/9lNUApt5gCEVh3ahPRRE/8W6eSf4sY+SJRXQo6nkByWwqI4pAC70kIhNkQS9G4s
+yV2tFgjZACZqcH7yhamJ5Ua7ZqnVx0HukQmN5TqTg1RkZFc06zprex1h29prSd4UpOUpbqecWiW
8pZ5DXYvZ9Xp+roraQgrTEmQz4EJqQC62jxkDiXme8P5lBX+qtbGZedzZvXtQyfmyCvjZkTQBV+4
m+jvzB4QNcPFt16A61StjaUrhOOI8D5QOeThy6F5RgiIeI0ma9nxWKchso7Llioo6vtCMV4wYZzj
P0LlOK9AKbHzU/edn1xpE4L5wDCvbd4hPwIsrxRwlNP0WEvn2ozESzLOgrAabOAG/E2MB8NdpsnH
GJkPZyvQtj6Xm7JTG9cZrXM1tm+JAMg9cxb30GiYYOawzHX/Dsv3EZ088FAYnU2akpoQPo29clvq
CKnD8bp1zI0wlYdOiZnbwi4wAD17dRlYLpNre60BHLII6BYdxuRKOgc+poshtpDwxStffkaivPa1
hSBPnFtpYZ3W5ILFjHdkO7PRCqztHFuGW+fFk56bBI82OMmn8Vl2A8+XikQ/W4J5+ra4UPv0k88T
6dR6Bpy2wDVvnnXmtCvM9lOvSDzroX5rsEMLOPpd4p4uVTGQ5YsTYcUGKHRrZWLMF3ZAtolQYp+W
3Mctb9JMk+satC2uzLTr1izXTpntJpERb0gSOvDNYAiOWlfcjw1Q0L3Od+4xY7FcLCbLkPEl3gTJ
AHAKSUGqnb2fMAEk4nzc4tPDMtcNEt6NGq+nLqT8VcrPrFZbB/FwBfLID33wFy2BtPNd/94TG/1o
060GjM1ucl+nw0SWec+0uFhLemr2CsDl6LLHXNJuL323Tc4ruT9bYtppyVXbXrVDnZ4hbLTWWe8v
umP9segN3NJLL5aGPNKEA4DQYy9HWLfuKVG2CmxnvLFLJgAFMvwxnD8td29UBfYqYoYgmCV0SUZZ
wIxynZt2iD88QLRoHUcpF3K4Nwv7Y8RkIrThz7bMKvA77Uk9dmtEyCmzjDTqNuXSv85MOUjXpvBi
7iHDPDimTEISSfrkpKvbihlJE9OnMjNxiLOvdUn14g8vjSnvi0J/yISFFZR5S5wS11BV87yYIu6N
EMU8g4LQQ/t9HJaBTb6MbpIwJU5+3vK/ah6AA5AircFGkYGPVinrWk8+T0yCyti6LytGmrV8qZu5
8ERmnUxmR2ZXCFdWIRFDjD2QnrJbFb76Isb42mb2xIfHECpmA9Mm1l3W9wPfEB2qyGCHa5SvK3Pp
dRhxzSQ3VKui5cs08dWzaIyaUNs3S6dE2M91TOvU0UIJWikm8xfJ0ltRv2Pwgtm+AEwIZIpAvnYW
JlWZqct0tX1TiEDdFE4Vb1pyy92yFMd86ecI1552Gi3eHPjPypRdhLR+ytIDquP0SkhKfDPhB2Yo
jtGlIX87mwhPsILqdUDYh98CsQFN211km+dhWb5GM/O3QBMZ+dz1Tsm1O0vr2C+VfBqp5RO6kYCY
8SmvzGFvZaW/8s0O9CK3Q9m+OtrAgjhLedawKFC2pYLN0lkt1Ik+kUjlNe1Is2n8tnGetKxprcO/
FdF7RaQzff37iujm+bVGrpS3xV+rouUnv1VFKkRaRrrC+iMC8IeqyDYpmL7+E37qa1dof7B0Uwob
BBeaJZakfw6C7Q/indsHLIAahxHy71RFmvy5K6QqIhKI384QkhbTWKqm1+frKA9ASqr/o8d9zpdy
HE4jmX+eZDC8QbIdr0si9zJrbBmAJQ18EUP2j0OcnZcw27Ym7CW+ulG0cE5IDslt9ToIzDXKF+6Y
KQdMJiLlHArSs+Fr89Hp2rfBrMCQ4y1wy9S/0TvFPOQ9rdrU69WmBPB+RJm8joPwnv3QehB5RESC
fcYm7EzW6udknO6HkPJBJsTQ4RxRtZ0TUS05cUY+X6aX2CqgucyTnq4YWjY0ZhQUlKtvsSXvBlN5
SnrlbehRGCzRRt44MCPMi+xTBU3eTYRybAXtHl73yR0Am7i9Y75MIeZTcpxVL6VuoboDZ9JNxX2Y
FVeaGazNAselNZH9XXVsNAMiv4JDEO3NUr+GAo6/y3+bF8NafmmqWJtwuR9zKoB5jD9mFW5wOO1h
btz2MN5cEX+egmXQlWpX9oI/sjusoH3QICxpURt2LYy3NEw3Y5uSFOPo1ao2p5ssaI1Vaw1yh1Im
9vQ0xHyYsz6aC/JMMughXuPHzlppASvKNtglIYPEDMI8Dv34GpugthqZELrxxI2vRoQtGYWiH+pq
8aEwP/cSVPpnqLWui2ZEg48+eYtIY0+lFK1qnQw82cXGrvOdKbnPA8UKDlozZx/jxqCBT+lfefv6
2Rt1Ez7jGA1ku9ufG2wLY9ifwhZMMFUKB1P7fkjVC0s7SwtLWTkqEptIqv4GnLl6skQ0eg2JJRyX
E+QZORSHbNaiO/RI93UbjTvddJ4SaK04TAndGGSsEQPQMXSY7FsnH/Y64QNl7cMRmhFY1ap6p3Q+
oBYGauvRn/NtPwBVyOQCyW+QxTY5M3kc8K7e9IcR5+wtTwB6OLDCHuLZ8TKfqJLtbihvyZB5aRDC
nltk4THnDt+AP47eLInyixz1qACSQMGHfSNTDJX7p+12defXOw3X3k1lVumpL6z8NtHYgZdqFKK9
Km8Lu121rUnx1ZE2C9BoN5pUb52vYPrEY0nY1oSrzPEhv9SjlyWFszYiPHlobhFFEX531k7iefRL
rwqHe3Y5YIpzMUGtJ8IokA7L/FEqe0VxhifSDQe8ipW/iuw2B2tYJK8JM4FdisXMJWzzLBnCcdcj
vlrXrTMTfYd6irU3QXqDrvoXId6Mg91Px4Z+jskxwmvWGnwzs77ejMIGhq/lRBnZMwAsNcF8aYzz
+t/76P0+kjTU/3AfFfAYf3EXLT/13V2EgUSlmTYF/M1FJ/2tQ9c+SGHCCYDOxzhl+Ud/3kXLv2oI
pLOMNt+Z6k3RteF//lvnLtJV1D0MGzXLWrgDv9Gho9L5a4e+THLYfCJt0EAW/HgXSTuLa9lp08lu
g/oSgl12Haml9VCkUjubhiR5nFRCnuy2F4dh4smDLhYSkNPP95YztDehKNIt1Xh0btJ9ry2lJXAx
qsI1a4djusjW+uUpNZbnVScqjh7ZFoBKlueZVdC4U2znbNQoO5s2bHfYn5LXiFiubZyjiCPDgXxO
7r+nLAyDs6JajOZKG6+05fvU2HaJjXu6dzQ8wan+PPmZRTPFt7AtlOE8X76ZdTGMrIj4thKbe0qW
728XgThxTMilIV9uBPStWzhwvLkNZg59uhAcaOogr9o8W1GSB5/hWD2GY+Bjzeu9aKGqIUjF1ZYn
e212aFXBOlwGaoAmZ2JtoNcbWeZXRlFxDolW2bZmMFO7dvoZGzdrnULzU8Fw76OWrDMRskNK0lyu
e7auO1NlZRahKz2rMjIz/KK/mmuklGVKHgOS0dlVDAPDIJ2nFjjHWGep1k+8O0qnhNcRs1+EhKp6
ahoNQbA1lPsqbM46LX6qSouTkEGni5g7XqsofUNC4FqPtUoIBxYhcLpIgn20wTFqmWkRC4+ohrN3
+fAiJMYaER9GtMVKgsi4EoQ+EdVnr4ac9RlKZCYAV4xodDcZx62GVll7bxHlImCuUTKjkr0sUDaL
oGFFh9a5RP7DbNRgZEqTvcihzUUYnS4S6aYxSs/Ks/MG9bSxyKgbc7jpQ5S4jcY8iX0dnLZMnCzU
1wjRtog/LmJU2SXq7HCRac+LYNv00Zb4ENJQcmczOhoTbbcDEgKRLmrvqVwRwnjHngCNE3pw0ydR
dEYhnmn1i75Ixh204yyHt2zk7qpFVM7RTnu2DI/ad0VklcBTA1Fvdq/SBkTIbgEgALkhFw4xb3wr
sii5UBHqAOWZ0uIMpI1ONVWPFwHWzf2/h/GX5oA6+h8O4+f8v9y3On+uP0W/OpSX3czXQ1mVH1Rd
ZTwKhfs95enPQ5mNki14/CVWBkp0gdfk66Fs8E+Ye5NkAeHdtL6nf+kf6DaWY9RgrspqyfytQ1lb
xqLfmxmounEwkFSO6IQ7QPw0NnVGQykdVQ+PSmJrK6PP2rVNkb03+6l66mudhMG2amtc8pNiWQA1
Z3oAf6ia+A5sClKH2ezpnGtNrvIKJj3xO5bor8bBLqbnjrVZDS1vrOZOg3JFCBRjBFZl+rjSQW1V
bmKp1bxnp1UHzbYtlTS8sVs437WBKNnNFW4Rdw7m+DYr0v6O8jbWoIyK6SZEzQWjM47DTVmm7F3Y
L+2gKPF9NjrrPld7BWYEkoj7ksUz8mKjnCdP5hSGQPaqHENnaV/qSV8yQ6viR8UojR02qjZwmZv5
FKNqYLuMiaID6ny78zJ/zggaj0zfcwptnwci8zI97vBSWtnRMvP+GtI4buou0SRQibzfQWg0KOkr
+0kDVTWjOnEKyH7s80fXsiPDQoKeWtdMn4qZYKks2hFTN79mmqIDsJBTk3uTQGCtbTrHiLkQkSOC
BLF7vd0a9AZKs4pGpX8Er6Cq6wSxDXpQtQvzdeyEjJHXQEDmRR8z6PPskMpk869NZR1sLXq3q6bu
4yem0c2VYzUW6aOmSj3PPuw2G8qjozclO3eFd/MyV4JerINm0XIEftFVQJrVzj/ZhL0/Jiz2wJCy
EQ9cs+PAHHIRpTuh563lKjaxSftKreORfPRIDm/mYAdvDrSjLcgMHyRGWOABdzB2NwqpmpmCIzKx
o+YBTHVZnypKV+awrfvvyfXl5EIZ/c8n1yp6C35RSS42pm+HlvkB+LOw/7BLLUK1r5Ukhxa6ssUS
SYr9F+Xb10NL/4A3irR0Krx3pTin4NdKUvtgEJIAv0pIshHU3zy0frHrljr1KqWs5CtpiWXq8d1U
I+JbD8i+1Q8YYBlcGjD3gtbrTCM5yyIeXlRo/WyhewU8owEsAal/07GkCJiaXuhdbD0n4RLzip1D
wMe1UlW9RJqFFyvuEY64TZ87p6xo57NA79JoX7WTdquD6jP2aiMQ2zqO0p4yX/fPkskUJLhCNFRv
Igs1zTnHVdq8OnlgDodaL2vjqszSbW/m6RvFT7Qq8qiD0C/Z9aAJxb3iVHbUX5NO1e5lqkF4IzU1
YUi5LOtnaaHGsapQnGvLMr+uKuD4OTyrdTg6FYjdul13YorOjXaSF74/l50bO77z3DU50hhZ+cxw
aQtmj21pdxlqxhK59gRi4jU20S1hHc280jTeyjZ7o65WGYNklfwEfQkVK0CNKhj2+SyMTZso3dOA
dM/tNcFsaEg6Fd/TgPWMNdJHVaETdAgyeB0j6CcEhWr7ELXthZJorMDUml1O1Y37uSyrrVx8NTWd
JozFfPQMu6TSqSEUOazU+HDLlcmGtxkalNltdm53TuEZfm0dJsOY94lksBSBsHcloe8WZGq3DiC2
6pMds9VnnW3lyaq0nTdbhsrW7uddqqJkRLCwnXw2HEoDy5p0BUarcnxYhL+wbuce1TMh86oDeIJc
5zash2NCI+FRNY+ekxrjqsalihap1E7Y1pIbRBP6NSk9+dv/sndmu21rW5d+lULdc4N9A9RfF5RE
tZbcxnZuCDsN+77n09e3nL13bCXbroM6BVQB5y5BYkuiyLXmmnOMb8SyXu+yKsrv415nQBBVX/Op
j/f/WbV+rFrvH36ptzwkOl+i5svvVq7XZ2AV9S3eXV02LFN5KZz+WrlU7Q8F7yeTZjQ3WONphf61
cmF+UR1LJE/+/VN/rVxwWEkVM2wOwX+mbf4LZ2CxLr0utuj0smJRsxGYqeENPDsBG6ks27Ffz6e5
va9s3xVNn1fL+W/EEuI3/HyFH8FDsg18TFfJk6Hn+3ZlpF9jlmOpcSQjDKqWyT9EXm987fvN+6/z
9pP8+jpsHq9X4EJSSgyZhnIyUIwq9WGwvr7/Akie3/8kZxrmQKlIoqEGOKmj5fb6neV8x4C3cKST
0/UrhFqLpn8su00XXbZYY5ToG6VgEFyqBWdpbKroJ6u9aRCt4TMc1q+6+GYAcz0S7/f+OxW74bvX
/LzHHkk+s0NxLbQVRSJg1/uujxaFop8GgbAHAxtN3y1JdSv+aJvRD53+P0IlxLjglzeA9MEQya86
hfyZQiZHyUXPxJpOrDiRgkarTg8JXul2MZV6VS4crMKw02x7V49khnbDtcJojDqNVOJeluZFjYoY
uUInA0EK5N1A87Jep9mDmmm7wZcZEKhSrNyNWhavtcSJbde3Wzcnwq42623Z0WXsK09ppyXK13U4
n3ozWmUkChWV5HbmvIYwc5kR6DnHng9oCz0A6HrctBdamxJubS57pDwqoXnEPSBHTqncy2Vi3BZl
VTHq55BcYaeaFPLguoMlZytyeKbqoYnpvUvovId8r7T6FTTamCyvHnLDXWakbqnN2qogYUY3l4B1
2d0xYhtRoMPcqMhmtzOixJP0EaEWh3tETY5BIF8S6D+CtP7xG9LEN/DzsRSW8TcPvn72uAwR+qV2
bOaTvNY2/nY+tPfaGjTYqXGVQ7thH1/ZS2cxedpixz7iFcvxUdqSGrCW1+ZF5MU/pnr/+IbEw/Pz
/fz6+J5hDvQ07bBRccsWybYgxmJY1niVvUr+YDn63Z35ejk6W/DsKJvTMOR1JGC3t+PXKlhgEyJk
h1PUB0/h20v84yO9fgjOD7J8/lpzIvUUaguCWkeMphjj3YG8BHIgTkid33/B362A6EE5PcPophg+
+0ozMxstK9XU04CXLJ+fe+ny/Rf43QL4+gXOrh0TMs6Qgaqemn7Z0XjD3tWMyQef4qMXOVtlndGB
RI+g6uT0+7nateatan5+/3P8bkt6/TnOlseJvRp5oqGeVJ7tMcV+YpLtcXTw/L680L9bvHwRfamL
pvje/g/xm78U5VRHQdj+z7d/bX78PfhWCILFm7+sXmDvV923err+1mAj+6siEP/zf/cf/yRg3E4l
TIynr1mUEzbW1tGXVuUcdoaTFwaf9w91u+Kp6n6XrCp+9K9jHRI+TkvAziFonEmYkfAZtklwKvgM
TgNnyarUaCoWYLhLP8YKP4sjnWzDH7+MIfi/RBLWXtgqPxclFkmKLEcXHGMd6AblGIvWq1OdZZNB
M+pTfZokJKjITDqFbSknHht+QZifIp2lMLTCo2nUa9obxlWF3p/2kHyt+fp1UnffClTL7jiGgEL7
fWgpHtmjhwReutSDFsyVg50ry1kVmWr6iO1JO8iEQLpalx0B9Xt+YB2aUPKKSbpixHdnTfm9wQGA
tHOOEjZ0S1pCU75NumIZShL9jlDbGnb4CTPyQtLlqylJjx1AW4ihx1GMlB1zPAACpl2jgBoO7gzY
ixKfaJXWw7MTtRe+wypfa5+1gDNi2+5y3/Razdn3enX0w/DoFKPHKI6siPJIY93ViuoCzuU9Abqb
ECCnwyCZBvkpVuIjVdmq7xhpNvMylPtHJ2ouw7C7CIZp0Rf2WoeMB5KUkGdA8873BsYqgPyhA3La
7WbHfvJJnSNS8j6O+63UOMveaK7DYF5LiKWyciZRur6ZmgnmwBidAsNC2QjrNjbvjCbbzFNzndnt
c66OTEPzY+hXh97MNsbc7bJ62nQVEIygFAOOI0UM8w1nqwX6tRVaWMekctNaee7q6XCRdAAjlana
Uy89aYV+7ZTmIkSz7rJtnTqpPQSqCK/pt/UMrtCSrmNn3Cqy/4kUpzui21ZmHiluBaXRFzzQ0Jer
hZVVF5GdDoieKpC1E0ElRWQ+WT1k37Ia13ZpMHgey3tV5TCaDeNzThVPrlNNj2DVTM7Akbyx63gT
w4bftgVwhpM+z/DXYwCa2rqv0TQ4ysC3L6bnYoxeVF0qWmDXSdGWu9ys+0Ujxu5KqmgXoAD7ZT/B
y09HXEs0DEiW1eb4WlXUdUL6EGCYYBPnWMZAudiMuhj15+o8LwhSwz1aWojqhSSgE+IAKMuEq6MX
iPSpIhWK1dXXzMSbhayAMgqlPkoDkCfQ5U0KthgVQmQzkJjj74OQJziSeiuhVyhsbckc+TSrhqej
Z4DYP3A67heI/L+Bq7iw4/ZeGvi5i1qIIvi/yCNKuhQaiolIKCeK7NMgpBRl37RgEZFXYF0Cl1rq
zwHcalcWIoyyqbplozvHSHB0rTH+6khMz3sdcVQvZByJan/DVP45n9Q7ola/8f5D5uFyA2kfEYhW
ousIhTDEyGPgOwmldo+6lSCgpWZHpx41CfSJT/o4fceau4tRm+hFGHmjBGMWHUo0Q5nM0upIS6Dy
MiFWUYVspUC/kpdhABYmaVZq2GvLTidfd1DyhyGeucpV9lUqhBpzHATjNMi9OBm3vpSuYxmOsDP3
j3MBbgQ+5CmSrWeicp9Hva/deiQ8CWE+g0CM+FaYwmShm6RWoH7LFMK3pq79Qn1oIbm6LFMoXGHN
BF1DER09TAEmQ0fSGVpW2dJ0EMd07bPU1ctGxZox+kzJcv9eQ6qwmCDOzGqH5AeWKGocFUU0I6G5
Lm/DATmoHIuwNJPvffT9B01ADHwicri/NA9AEco8Z+ARjZIJDAuPZT3Y0CU17Tuu+ZFAoEC4ESnJ
E7KThqzaAu01eW/9DhfVacywp09z59qZRtSSjD+q/5TL8q4dbCDUEm6PCGWp28njIQnlmyFo90Ye
3iqTJbsw3Zd5HfeurQ/a0hylQwTixc2n5K4OdcSgWWktU4uAx5swTHKvHpogBNzgkzKKD3IhxX24
1VGthAz23Fy2pTWMcRIv8jJy8yYrvLFTcbZOtOUaOkXKmF5FBee1/yvFyPpbIbBYzdvi4//lWsSg
hPznWuSR4Lxf6xfxM38XIVQazHMoQMgMcIhj/9lbVlEpYI1m/0fB8OKI+rtDY9OhMQAi4ZHWiI0S
jua/ihCS35lhIW6wHZv/9K/RvRi/vTkavRzVZNC4SIk0S6VbRDn2ugpp6yHOUzUeT2ULM6REoEP4
zG2r0meOhXZnVvIC1I6SghzIsptGaHwAL9GImH3O3ixhAeqEFnG3dqR/LWN8Iq59smISuUywTUJD
FCImcoSqqBD6okQojZwgKBdZhrbO6fziVkeQVAtlUotEqWdGciJYt3IHoV9SwFSuO0PVVgFC5WWD
zCkTeqcUgC6AW23NTralF4pmCW3UKFRSptBLpUI5hVz0s4TUdOMIsLVQV1VCZxUKxVUrtFeSaMgq
XIJTpJBhCz3XgfMPoigYsBa0Gf2ToYTUlQYadqOcDlYQoOFgWOTqJVJ5Iq0PXTWtE0d6HHBssGR3
TMygMRsh+a6dvkqsQF6pQb9LamlPXYLEXrkoCiLg5bZAH2F2Gb6H8LPR60+jSTe2AJwbAM2vjRw2
UhigVAiim1ZHpKClkulqOZFsZoD0be6rjWRm34iKSRF7mzuzxvTQzjmMFiNG6isZgRf6HAZzY37k
i44RZ5Q3heQf9XR6tudoQ4JEySfRvvpTcyk1eX9IbIjadStyGwb7qM30nWd/PhoFX2lbQt+dhssk
055Vrb6fh+SL5Jf4KMJwB/n3hAOc+KKStroSsKVLg7o1kJKSIDs2yyFwToRG4c/P9I1JvEIxZkTE
WZrvGkr4WAbzFbabfVwBmZeAyrsk5bHwMu0HvVQl9kmboEo8o1A1pq0FQWXFbrQnO3KGta3UpBcb
nOtDy/gmNYnHOqrj1Zq8l8mrjzvhAnTOjp5R7Vpsoq6aKQfNMihIyLMBfANNLBBcsQnAmF1R+5Ik
p17XhtFjPCeqXgdIVuFycZm7Tmz9BCQVGPOg6UA9IefCzQXTTJqgmwWCczYI4pnMnaqBQEsFC62P
9O0o6Gil4KTlgpjmg05TBEOtFjQ1urkZUc3DYhakNQ3k2jSpm0gw2BLDuK2BsqmCzmaBabPAtemC
2zYgC6WC64AYAHWTbOhuVjvhVRbEN7R3pjfW+k0vaHB+axyAadMjE6Q4GWRcnXaw44DIVYImVxUR
3xJ8uVR7aBT/JA2BN8wA6GDqrNsXJp2T1etGYOqCKVzacOtC+HV2UfKo85iUQgijZsDwUcaMQiKT
SJa9TIVsJhQCGl9IaQAOBPClbaR/tn/sKwm5pmOu1An1e4qOFp5KlrNDj1eTQhzwRBLerppmDIFC
xiNXLZziptDXU+Aj8hFyn7LK94EQAE1CCtQIUVAVK9JaF0KhoiqvTMmpvRkNkSQHD6WUaZdqjP6S
1S/ZSpHuLLDw7ySMAIEQI5mokiorDr4Tfo1Ihcf4ykK7NL+omPIXRdN/9s8fo453nXgE9P63iyfs
4b9uotprMx6ITBuYs8kxGQ2bcBz/PeZg1qoqqDkIiEN8/lpVYv2BckQFySU6xXiS+am/NlFLzEbo
HBv/pjGHowIyYSFjHKyea0qabuiqzJyGk1xc1oG+mvA3vSoqLn80BV57QnmnZ/1LVDE0Cgwhr8dZ
eNZTMgee987qulOjx7vI+iTJJ8e4alg5/MuhP4LxeP/11LORs2gvvn1F8Y5eNSdEUETEJttB6Sb4
zJ5YE9ypKVRsS0HRXA11Ye/6FqyfmWDkaUzPjKcKbuPoGziVWgvpe25+JmNT3Zoix5NHWF8qTYE9
xg4PBmGfuUj9LIn/7KXkuzNKD8SKXBYiH9SCMwWtoxZOL9JDNTVEoCsSRTORLaoTMtqItFEDjBtW
4qhY+9OYLyKRSmrV5JMyvgVPD+dMGuxFSYSpTXcECFzhWlF/kAg5JdKXUAkfj1cFoUKfYMCYw5UP
q9P1QV0WhXLZ4+Shmtrmche56O/2BW66TpPuapGy2uef+1m7HAlf7QEcrpS2WaM4XOulvUP5OBJc
Ds5LKmsoV+F0UXTWfGO1yH5Y5tG53CC3NDcms4qYLIxNRcBQezW/DC+6rB6LU0pPvsXhQ+bbjE6n
aWciG7TqOZHtg8mgnXyUQ2lF2zFh6O74RJ4kx2k271GYw2RCQ0IEAqGsavSFAMSvqVQYq8HQL8ZS
B0GlLfukPLT+sMJhuJ206FLGNJn7FfKa6YCR4EDCZ7Fs50xmIxv2TS/fV0j+dL0gXzaf74yUuYKf
Tckx6vLLPGmhUjI7nhPy7BPLHUsTLTSVpVuNBEDjxMcZBV24ia07pAU1xDk58NSshFbTDS0puGoD
xLGaDulUwCix1X2acTweTnpoXzcdtAsF+QPpKbWnEDThp9Fll0s3Q4+PTOJrKUYCTSPHtbL2qxUy
VlfM+EqFj+V0WYeDTSHERkxEpqu2KxDeMMMzB3091L0nMwtvTcyvirwsiuKGhOjLzK+qxTA2Pbmq
SX89TuG16StbfKtLu7QfdDBgo2XUt6Us0XuP6u85llTgGGswQYgZmPaAcydyo/8mD8E+J2Km0hXq
QcshlogIL8h3K1MaoH4El+TgXehGDFcyA05jrFIrX3Sjv2+aYlODSWmA2hmNdITNu1QHactjezXZ
AX2GiPJK030P58QnvUYjyROyqBKC7nIjnTbJQGVQp/gKOFBTSUi7pJlvKVvxqKQtXYjiJu7lJa0v
bmsMFQT4qE9OFz/Fln1RVCmpgTHs26GpJ9dvIAQafm9v/rPpvWx6Oqeofz40/plKj77j111P/OTr
oyMSNVgaIjDhRcX+atdDqg5K72fI6s/hPsuSQO8DEGfPE/zKv3Y98w8WdoNTntAQvbjT/2rl/7kH
MQX4x5ka44o3uxK/CXQ4uiigHhxQxVt5u0fAmCxgRtgCFRkVHuDXGls09psU0mNUa7h/RU5Oo+KI
SWEFoglut5WhkFQqs41k2bAjg0RzCWcnTFPuNkERrDhBGfiK2CeKvIs9ElFWsRU/D34NmUok+fQ5
bpYUAzPSX8MG8zw5l2GV3RkiB6gaNBiCRAORB3JH7w17ZnRPjM0tYeb5yVJ8cH6jMiBTBzAhj0q0
y9Lw3qewp0HsXJFpPrq0S74pUt15AQSM25xsYaqSfVyOkyeP+UpqxuuKFOJRxBGnUnXsgf4GerU2
RGBxT3JxZtU3eIVZ6qfiohHhxkGrrROiIjCoN18m+ppsokG/skQoskY6MpStG7wrHtZUQBUkhDR1
HW17EpUVJbRYioZjL7JP7JmsvZcE5pHUFZHJPCZ46dNauLrmaz8Quc0iwdnqon6fRjP8IOKdIdTu
HJH3TPDHaiYAOhZJ0FFFJjTBzutBpERXIi9aEsnRJDZAxIaL0REqrYl0aY2Y6ZQ2ttsSPE0fFuPU
V5U4aotf14l86kgkVYdK8xR2uY49ixRrnTjrWORaayLhGiOAi6CV6XVK+rVJDLZNHDbj++KyypSL
SiRlyxWZ2ZFIz6ZsU9ezqt7qIlk76Z2lTdQ2UHxnR6I8TXh6rSZx3LJYyME1e0QR7ZuivYQluGxT
eU1skFeIRG/FiO4dnYzvnEoE0giCCIcA8DlCWVVND3RuPYLWP+vYL7aZ1l/3nPhchRBxXnlcjcSK
9xb54vjqGLor02Usssd9QsgdkUbea/UzuYw0LWpFpW9JwRNKmbWqLPSrqylvACvMniEKJBp85THo
JWtXivJpfKmkrJeqSisRDYAD+creMux6QwPoZXk1/g2hF50MDZ+dXz86Otlt+pRT/5S8BL1hetCb
epiaRWdwie3AJ2IjnO+0slBcXWVCo5XWjV2Z+1aZvqVhlSyVxLhOfY7M5tyv5gxMVsg8wyE8JjFJ
wgU99jWeS4dmv/WVaS9EFnibiKTJuCiU5qqtCi5xfeFThSyteih3hVVjyWN6USX6isRUgaqyOxfn
MD8xghrPh2DyYsX/npb+ZUo4FIbkVqZZ3cFm7hiM+3O6r7CcrGbZrDZBN2NO72lB5bshVtH7+upj
XNJaNfGJH0Jdki80tCffZNlPbgtZLzdpb09MT9IQsPN/dqcfuxOTxo92J/epfn6qn36zQfHDf21Q
oJI58OjCKuX8qej/e4OS/yD6W2bfMnDponv/qT4z/lBwaTicy0RGAc3PnxuU9gdpB9hthdIVdf6/
5sB6q1hge3LQ86pMay2VXilGsLfbkxYSCd9OmX4Ms89zcxzHx1eX5TeHMnbM8w2QdG6UueCjbU5l
hnWmwej8RidEbeyO3WysmKN9R390TH1cqHX7nUUBpm1N1pqOtVWR8i39kU1dxavOIvnIlExsL4SP
5hYN1Ua+jbvQ05vyq0Smpas6B+YN2EPbZHDnMD0pvWIkRBS0lXYKQDyDtwQ1EnAR6TPi+QUvOc0N
1FpjO5K3zYyLJ0XLQpO4gojMHT1Kv1Zq6kOnVEjAw8CEXC6QHmKqRmSs+pcuHDOvVayAEUpY7RWH
5ylQ7JNVWtIqtesHLAvaSlGBtJS6PrAUQjnQ1KL1lJppEdG1+76OPjN8PhiqunScjKNEQH8yzYsN
Lat5WfvVrW+ka22OLmy8lZTK+WdJxuSv6OP3LJFA2Tg4KYmc85ALLwl1u7FQPElyudUqnLCytAEk
u2tLGXVsN12Nib2DqYfcjWhNpaVFZFlPvtKDWLDiTeBIwCiipxa+lNtYOuZpe5MG8UmC2kAeNEA9
9bFJgp3TWRtI7Ac9J72sVvuLlNRwM9NWdVltiEm33EJ3PsXR3G7mJL2sfRREzRzu20h+ZNCI6kyK
d7pEvFRKSrU6a4wGZ/0m0nLSVJoxXHV2tJ1SahcjNgxgi8C3qqih8Zt87nQHczjkexnMfpS3pBwG
+W7E6OTo/b1eaAuiN4+0Sh85Ap6SSL8OM/R9nZ8hcu4vwqHeFtOwDTBgE7HI6cwZWBGHQ6imN8TU
YGaJ03tMqp8U37rHfuUVtbmzZ8OTxvqzqbfklLbOWtKaR+jESxD0IzjA+Stk0hUgyAXUy6WWjIdy
QAPXVQGd4gkSZGs3Kju87wam9ZmnwAOb9hj4Imm8aWNPolFhldX3qYg3NvBFXSs/d7X8KEnE51kk
1yZ+zNCY/qORPs+JfwUyZHbDKTgkcZ2sMc8lWBGt2xAjIJPWECgovEE5y54dBROMVIaMYWfLuLDH
Jt9FkcmmUbJrGOZN7OgP0HsCT1JrrDGleHri4UZWyEDrSpvR41AtjQromqQY16NN7GM3demewAFB
GtWalZOWvQuExl8NjXkMWpUwPcP8xECGhL/Kt58BBfWrEBR8wfzVBI+d1b3fwFWUGNjHUR8dxzoy
DxWH4CUjXs5eSRksakkEaKZFuNRDKq20k5iUzDjX89ZPrgvICmjDO3mPNB3Q+qSi5qz3LQPVUi+b
bd4x1lc0wR5Tq2ZDDz1eBVF3MJWAI2JS5mtlNggumR3QKyoHOj0tVwX7tepmUXqyUhk6Uio1V3PP
J/b98osxT59qX3uykmrD+oYIXckWjiJJyymVDj7zeDG1N9zENJCGp0V2Uxg4JGGc+ul9l+TXQ0/W
vaqaJz2yXVaWRR3rSwy33bIo871VWSyICm/aGq7yTgsWJaoH1qhdUPmbVKtWMRHy5dwe0lhah0Z4
QXjtPZBrhrdCkOmnlGwJ7D4yKpuoXQy2byJ5lJny65H1XA5MeCE9NRSa1ZDdJko2eD1RpxoG7YWG
t3tBvnLCQDeqL2Y7OWpquQGqdqVURB6nQK/HDNn8PIAaUKytqvgdQXxoO9OJaFGpvM3UbMFYpkuX
Td2Fq2lgEMSa0+0G2Sw+53orsf5K3ynDyIPpIOzxcvjHS1M/FRp1zmJKrH7Tx2G/zhFprFn6OWdU
vILapbc5UTRLupPOroMftyNnBoyCYVJka/YWPxWgh8K6NaqCQT/ZhDN086ZaTroPOSCpbk1/urUZ
6DzMfh4xWSHRw+gCxbWIum0nBsClTAY17KFigb+CTM7e6B7qCKTdaE/RvEijIWRXwhOso6JwkwFI
hp3VyykrHpmcEQuDasCagJYWJzK+d0k13clANPoI3EVRhnddqt7aXeXsx2nst4UU18vCTyd6bYww
Sll+FNPGpTbq1UNnliSsFoC+k5Ab3YI/7pJ3/qCOTnvjq8bo2R2OpxhPxwc9zLenUw7AGL9NhVKD
gzA2cdEzftPBzDIOr0GcH1uOlxjztwYtvqFuvPergHPh9p+vQ2OWdqPGY39eBLSWwNeH+TFL0wuI
0HesSpc2ExCWy9odJkeEoqabfiy91E42jRoCasQKreZ7VqoDClxmH8kVrOFrk1mFFnaLDhZZHvjf
is6kc8ojoM/20ZQDyrW/67rfFDC/vULMTS1FZy6Nif7tFTKyrohaJ8mPA4bdYLqV42wRFh9ogc9A
dS+NCEfXaLAxzQb+a519D02XlFOWdP2xDIhLABq91ZCKk5NesW/0PdZkqX+QyrS4yh3uQUfeDjYQ
oGIiOsLX5Ks5zujyzd0V6njnJmdX6oqehqdCm41J6cKAQEyQbHCMpGhH+5lrrvLcmNmArFoci0GC
PCVtSpxPEK1n0A9+o5irMI049LfaFwm/IRTOjpFXZQK1dJRFUZEJH8JCYSuitAnNLdDJb5FuPdH3
QwgC92i00gtyu/HQWJO0kZUhvgDXmLnzCKYFfXpEhDpjACUKPvmdkt1Wg8H+oQQHIyOVuTHLdmMq
w6ov2OJw5iMAt5JVKasneIPw/2carIqWHnz5qdO9zrC2rIuPtgR8xRqUzRTrj6lWh6ucibRbmlAt
JXk565QeI48ZeCYUe6OUbeo2M+htjju07k9JpIZf6KivOWplSysNL9QC7bnWVB45wAxa1fE6I+cB
wA0dV3Me95XVfKDERqn1pmj+cT+IthS3gxBACubs6+cSQGmR82/tkfnMk+Y0KITKPj2aTPFc1tPP
QYP4l6PoQjFHcipeGH3pBVcFpFmYWBuwmxeEQbnDrF4Yhf2g6XnoNZlReV0n61uUtx1kEcDPPdHv
K7nQsw3WKaI5lEikToMrJxj5mox4RgYGibEZU0Aymwt2A4RHLYLKvKw8M5uR1ZpPKDAgmCqFRZiz
emeqRJDAYAWUrizNgkFvbUgJaiHzIWZWMPjqV9NCtFwOLANOujHz8ZbB88Ei9KMqtBvm1twhJVZ1
9cbo+4skDm+qyLjOLChEU/tgJzRgqBvllVmR0IxuYsV0iSaHwXlfi6WlzFhjqZjSk8Q9sSgd7VHR
pAclJOWlahH/hxZhWLNEItdYrBS9XsugbZ28h6aKhC7sl3qCZsi2h70FgG9QegT5qeDwtLeaMMHa
47bByKwN8pcK0G1umSuAfigU82VCPhLBRQcrN72hIHLeiuJFhIBDdaKrpJSSLaGFq6KZVmZK4FIp
0A9mwLmEh7GXnKuhar/TKvABDAkyE+KEtksWJjlmKmZGMB8Hs9HWkYYDwlaCbKUHMxN0KlRaXAcJ
nlyiDPcFgolAii7J4naDkLzbRNpn7OLhEGxsJX3sy8arAjd3tjrjJoVdM/UHkq4Jya6zctlJFfEh
ibSOB3s/xzgNHRzUgxIINiyL7qwqdCtsFyjbJfjdTZC3+2CoDrkgQbVtKhGeLawYqbXTg2FfqgRJ
GQVqBa3EiDIQPRqWDGcaTgmpCdEmWzH5ge0/XJrGykqII7OP2eiZk1cgYbT6e0YIqMbkCyS+Ncge
/RCHA/Hdvu/vO7W3Fg390IUV+znwTQBp1A2bYmqb5WRam7qnCrEK+m8WTujer5UPtrYPntQXl8fr
GWDoTLFTJh0zPiZezUWGUmakiecPp6S+gDD8o+Hyjx1lDv6vp5yiZQ3f7u+VQTvbSdUQ42qesTIU
xTeCw/rxmlS+PHhA7vnBxif2nJ/S6x9rkEjtJYXYtpAOn3Wuh4bwLtLsR0LJpmBVRkRJ02kSbMhi
Gxa4Y5Kx35cllN+CNvqFXdmGa8YFVtUYWczA710QsPwd5NnVmGu2i+z6kxQVp0K2blLKN049i7ZR
b8aAtOq8DTxgkJ/zWL+XwrS8DrqkXxngz9eZ0e2NWHYpLFYTMMoFJd46bzXrHgPfTUkSPJ2UXaeB
SNRUnLbT1iid05AE+5pt2yIZPVHRpTChlUJ7MZbKfUYaUpT6W8CnaF5BNbdG9jTLEwqcIXisRqcm
2trHwdtowQdX9W2/5deLKpRmr24XWog59Fh7PNrj53B+nuwPAmo/+v1nG4cspdTIQTIRjXFDXCBg
hbsPbov37wrz7P7D4pLIiRpMR0O9BNPlcpnkcPrAuPNWb/fXVbLxkiumIjwIb6/SaDVD2Oh8Ckdd
qO2XdsioSe6i0frg23jJ6/15j7+0vzSoGQoPFFwNKtO3LzTFEc3XuVSPlDFf2NSWt6nnLwE+utHi
3s3d+y1h44fn62gRfhpXT6QXP/NENxtt+/5VVUWf7ecb+XXDPysAnT5ySidgGWm9fikv5NV4062z
K2JKVgKQ7ilrrrOnLIAEueEKCVG/0o/5l/ffhdBZ/vIuXj/yYvF5dXemfpPaTKKm48O4VVf07D3n
0nIRVLjhcn1vLA7mMls7x9AbN/mNsbnFPb8eN6x77rwugN8uaZ0tnaV06Db5ujmFjJXdYPkJ5NFR
XkxrY+tsi/2wqe8y7+b9t36uxXhZF1+/9bMLKKlNlJZSxH3pFm7pNd9Kr7xVlpBNlyQkLaNV7mW7
Yn355bDqtsaCA3u8Qyy9i4/Bgs1nBWf+q7/49P67enFZnn+tr97VOac8QkRcWybvKtw6briYN9na
v80Z/KOgdk2XmccCA8PaPlYb9TONtNX7ry9u319f/udzdLbasNQgtCun8SjPxcoahv0sJce+k/+c
AvzjpiRWlfde52zVsWHT9v2cTkdqarcfvsjjZoCkqK0qGWN96b3/qX6/xv39qc4Pk1LG4m9UcXcM
rYST33UZXP2fvcDZmU8bicMzMw5QibFXY/qAzkdapQ++mBfb06sHTcpKO7eYvx6L8gh3wCtVklXs
D0qFj67T2eLWKGkT91bcHkfxrczpwhn/9ahvxJb6z6/i7AbrihmyQpNNx6EfF5F5JIdpgULp/a/j
g7vLOluVTD+QJppz7AajudAdBnFpe9K0bmEx14sHlblv9MGl++33Q64kxjhbk4nreLsQAs3T/DJq
u6Oefa9jL9GIlTTX73+s3349r17j7KFJSZGQqlAfj0Td0L+/yrIPugofvcDZkjgn2ajFRdUfZRZt
mtGJln5wmV72x/cefLGhvLqPQ+TgBHVxH3M2cFH07vpNcsERAcfyIlwFp87NfuAu/nGpEdKMd9ca
8alfvSRwJE1p1ZA96oHGcM6qehHw2u7wpBzmbe9eEmDCP7jGKlsw8b2S3Ot2JXb1y8fqUttxaier
dzW17iZfhOuP3t5vN/JXT4R5fudE9SArPg+dchIbOQmj61Tf5srCTdb68j53d4SC7L/LzxzO6rtp
j1Xmg9VLFcvTe1/K2ffeS40ZVs5ELbHsl/Nyml1E+s4+XV47R/MAA3b5qHq+m9Ox9fC5re2F9MEK
/dFbsMRQ8NWXJI2dpOdD2R4JK3LHJZ3N+KvhERyy776Nm3KVHay1tJa+B4/aYlwnJ8KLvr3/dL0c
vN65CtbZfZL0WqY3ObcmdgevchU3ElXdNlnc9ttxu0Uk485HkoXvZZz1mVeurUtiF5bdKtwSavY5
XXzwfkRh/Mv7+fm4G2eXxJYcZkM5S0q10tfm2gRZ7M3efIj2ivsFyYpH8Oq23NDUO4wL624FT4Gv
qF0n3k20FEXCn8XBv9sa/f+fG0kEivzd4hX+6z+908JU9V///fDUNN/yX2f24qdezewFrcrEyq/q
6gsW5u+ZvfIHecikO/7JjOHh+1NUpit/QOmmRYxXCXYqaJifM3sHlbVl8hst/hEV9L9E8FYMsa3+
vJc4tiDJVjmRM/5AJQlG8O3jhZ93lMrCHE5Q3BprFfY+CUSd5UzLYIpI/VP9fTsnjKInmsfJJ6VT
6Hyy1UXttpw5sI89SbSHH/7VGPzlvGK+kcNcG3LNNL6MaKn/F3tntt22kXbtK4IXUEBhOPwJjiIp
UpI1+QRLHoR5HgrA1f8PnDgdu5P+Vs7TJ+kVRzIlglXvsPezcxaDTTBvwLLG0yocGyjERui9e3pu
dBh+27bZsjRHGRpMgOTWWVUqRqzQnbR5U9uhmFmbpgqZ1Mwkm/FLH47GJhdhM28sx8jpHF18moy3
jF2vY6fZYfm05GNmaJFNEEhziIVRiVXBAnZfacO0H82px5dquuM2TFxGDGGYQCZcAGP7KB0BkAZu
9jkOCnvthcqAH1pNw0bLGuBU6G9WZFUC3M5JqRhkIz/jY47YrufmrtMnjRySOrR2corebaWB9Szc
d6xA5DHkjNmcij8j4Im96gAFBRinOkZh1R5dY2CSHecCtR0jtazRis+6Q1kqWLU36xxMKBICTWce
jiCaNC59j/OELXagijeDnFgigcvwpmq07Ir6N8L2a3jYjotvqcOy0sxMJi/RYO1QbsUbvS3sVRo6
TGdln11Tvcd/6THOrdiV5HWtNi4iZsJqzG9Rq5V72WC66QfSO+Gu1KBoSRzRbe0zvthwb89ZDxYG
C3hEtJajGKpUgpg9J08GXEgNGVoZbpVdWebtjSd1oLdalJx5zYSxlHYJGBoWbZ/oa6xL1ko6arrz
vIBYYq/MmchGNGIqTzdmg0le9UzfirnhZbrmS1akpOfVyWKkJiMLhzkrMyebGCwP9aovzWSJJanv
wqk2VmOoujsHQzCcd6PGNjxNKfNXkW1n3Rs3pIqphdhVbUbD6RFGICgLxiLdG1kTodhLfkf7/Hts
WhRvf39sPkRvbff238fm8lU/jk2AEaZBIhdsEKl7nHd/cqCYH9j+Ox7JBr8fgD8fm8hwF0EuVpTF
nPK7FtfSAXexdPtNAvVPYRLyl5KAY5Nger4LmmAJuwJj6M/Hplj+8iqrs6uOUnMlLVYZhqWeBscO
8W1plyrCE9GivEkzgddscvf1FFbIKLDbD6PLqjE+M5z9iLg988nyhG9setWqDdGquubezXqSWoJN
Php7pfhnztpDIR1icvnays4n6pMpOGKXdqzfIic5T13/zUmijQJP0GnoNyajQuhpfYEPuwsnIkjM
tiS3Js77fVI1+8bzjm0Sbkp8+LNINgDgycWUw8kGbuRgclGCzejUWDHAJfGWAfsSuv4C90FunSDo
/QoV1K5hyefDc2Rvbrc3sCyGrRtURE5qe89MNmmUPBCjWwHvN1m+4S8rDItUPbfaKnvJ7OTFHfHJ
Ii5wFaqSwihWKDovnpl95QCpdpNgORWHKVmtU/CxyUqEjf241gulsbNKzqlFCmAMnG9TDFXmE5QF
32ksJ5Ye7oY8+JtIdsU6VNljJxsNgl6x7t3yLmqwzxfgusG4AgeQ3dkrxMc66neiG+9wtmibftam
1ZQr3N3uu6GReKWJ4m6MkONYrveaJMY98xCUmAG7qj4zc3+yzY9zHr+mRb1WGQrW2MWcYcbxCa8y
Jkv9nWBde4+CylqLuJ82EbY5TAnmHbj05yjh9YcTs6MZYadvV9a+t8tqVRWmtclb2CMJxrk2wy7Y
rKwYJcbUGTZ6a/4eHezWFHgFGu7ohXSKe/yHo19y9q9mPLsYaNNVXXQciixo1yrh64jC8dZGnlq7
vOwvZek+SyPgfW/7VWqMNZdb9Wr08alL4lMTe/FBQ5xGuCGLVkuwGvTaSfikQJA12lW7wCxvwUGe
2K05B3QvSMTa+FZPytc6qeNtnS25sHGzHskMshUvlO0KY9Js2NeGfhWi9SupFoojBMqwP7RF9dhr
w65si3NUllvLHklhzWNSOdrBI5JGwQvOkIK4+vAy1/G3dgDBkow7FVfTOilqbML2oqXgp5qca4np
yE+94cFNs22n39QU68M50OLtpHtouYqLIYurGBDKyPmi9TaW6GnYiUUs3/cN++9oXosZ1YmNopsH
NA58W4sCQjQIZir4pmxRKh9NUc4GDftJrg/vlBHpesxNdDmLB8RM288j6AFVuhBKxh4VR00WG8mU
O6OQh8hADjYHVt6sBAahlVt4KMO0EYH+aAY+Ky+19TQXixF1TDhGJFMHaQJVwvray46NdZR+Lc3h
pZ77L7OjEvaCrK5DU10pdHA9xVjDp87umHeIAQljX4jmKMKsO3L2IFR3K8gsYw3Go8i7gyywzWzN
vrLl4/C9oIoIUdn1FjwP1nMFN6kzUny53wsxt9AoyuoBVegens9EsWYSwnGrFTh2H34r8pTXaOax
H3tmtriso5dmtsRwSbtqX4bI3asEv1JppdY2hhe/qvX5DX/xfRuYWNrT8cayin7baA0cFc0+SmeM
15LIQARD9hfc4y32J5tossR6STUbMdJiMDb02b4xSx7mtMD5yn9OuyzLT1VgvUVJI9adi9oR8dI7
OBOEUNESKFUosdL1pdTqkINO6XieqnY9xh6Tm0o7W0VzpwX9MXfLT0Os3mccSWqENdEaoKnDSmZ+
a443EYsjXeUEwVVvcUogJkXaqhOS4FSokmw2kciJ5DZovZOWTK9ZJN5nQ+e7hPI9HXJgFvFam2/E
NJIoJZtNEDb36bhkQkdU3ON6zI5Z5Jz1NEPzNpZvLB4OkWk2/qgx16rjuVjxMN7azpJkJz28F5p2
R/ilWCtHztjO+jM7Kjx6Y+DzW6j2TlFjHCv1bmdaA2c7OTKsah2CwsEXFYH2sUvXswyfRQM/1kUm
Bp8ImY+beoq/HPLHEgmGdZ2aiiSgtQmLiN0rxrp8rNSGGvcE6QARjguLJTScS6yKc5855OhUwcUr
gEjmLWr07s321LSh1H2Y8HqgmcePEnhcIDLpH4O+b9e9Kp6BRNwkWspr7OcXdFEIeXvb4hkgGASC
sOY3Zfet9bxHDuitXkErzKOOiAFzzxDrkcTynRY7o48I8YCD5TpA0PFk+TnmokNAp99aendEwRP4
xPYFoKCMhnjq5hDSOnDqqnAlJHSUKE0PnpzYRoaFn7ii3rUyVn5stQhH+yuVyLYQ3dOQA41Jiacn
m4IHsLfGTaqTgktOEzz+NGB6EfKnDuaMtZ2iX9M0Y2fjwTx0/EJ9QMQXvWqTlet0N32B+aW2vRui
7B4R+uobNJ/nlCNrq8VzuCP44JiREORPSx288AyOoSGuttFh8G+RWnSFnh9mQRnPzpvUNLMO/MQx
2d7H16hPMLqWaDkLXIQcchxwUu3nXPCRkO5VANRFKgDdxS7HL8Adnxmdk3HjfEEIQ6Onb6vWfinT
8IV0GHvdEYkQ5NWLXrp702oeFDZDJBW+KabU17PoKBr1FoIu7h3xzUthIffxHXnVsGE6/aGwlkNc
k+CUqL2/V5v/lt3LbPl/lN0lvpm/Krv5qj/KbvHBtFjQE6QiIaQswQB/TCtMINsm3riF+/q9gP5R
dhPkAsqbqodm24Kg+WeHARkvDor9BUuLo063/1EKNbfFT9OKxSaN84HKHwQtQBaMBj+X3WlRoTHW
E/0iTEkuhVwiKmCt9F+apN8MVjpSuATpHmIqH0nDewo6muqAam8tpfO5y7MHJ1feCh/Duu86+sUq
/ow0+NAO9SnVyKJuZJPgrxpIyRs6hvXGJ+WM4a4Vqj3SFh/qAd7RHF/MTjvkRMIA+lkZTYudM0Cb
MkycQE7r7ouYYEelrR2TACZll36pzVfAWMEiBr0XZgc8zdEgixcw3TQDlaf2UYtiQtsHcI9Eo21D
BLhZ8pLF0ycVgk9KZHLfNmgXmrr1iXk+5nqNV4/QqaksxVmvrEsEPmulGyDC8YkPRX902+Br5alj
DHRRUFreWSPsprAIzgh9GDYIECqN3GAANt4wzy3JZe56bpunWOhfmQ1EKwgStW9n2ePoaFQaULVL
MrXS1D1PWRhtDH6GQE/P8Vy9tQm62CFI442aOoSNopa7QgYY6Ki1Gzd/JHLngrrqU253JcEM4jS6
9a6zUthkgGmQjxlbl7DQOpCXVCDRk2re98pg2ztjB7C9ba/kmQS2nd65gM7c5K7I8f0OxXhy2/mk
WhepSFC9xBHpmYOoE+qz9KluJ2eVpt2LnNWRFLlm1bX5e+k2Z2GYIemL+PUiK0I1YqNA71FGdWLf
BjjH2zr8KLKGpPIIVrlD5qSy+2pDCMPXInQewmDa9akaN3mZ30yl+O5W/zZa1XG2C+z53TP/bl+U
CCStwQW7IvAgREl3pW/JTt6Yf4THYqQZRQInKm3sOjKDiCutfSdndZ84zc4mzMbv+ibc8h+ejb7e
VCUqaT0lmpLR/IMxNLtEpq/WZOy8kHyEypU0dY7ndyWKsaLIwRJH0xbG2tbq2NqR+bOZIpThCEhd
P52bc+Vl6GHzRaEymTsRlsdUWtvMw9Sdes2dlaqbJEJdEzVMv6Gh499mHihZxbqxM33pyc59jlii
Eijh5e7KLgvnXlRswsKV2+TanV559T0KPs55Y4xBD+rblKkc2sfgPQ3Hb4H0dESw9MB67dw4xfjU
2s3nLu3rVVWWd8Th7LQovTMwf7ou4eZ0+OtqJNnCdAai7vRm6yJgQrpp8cNVGxwpGm1xskemZW2i
wFLkiDmzzxwKDD0plx28Q9Oe3kZbrOtx/EQy5kb3pkfeaGREiXaYYu1U1NEuSrVDgT3GBiwTJhnW
gmCf4PtJ3SJcjS6pF9Z8Y1bds1E360iiURQozYbcxcUXo0CM65TKVSyBv4yx4MVUOW/IU0d++TT2
Wwz8/pD3B+DOxAcWDmLwdh3F3kueIJNrm+g0kJuyprnxtmNug1ZLi71HEBV925dWWXwIEL2PDqRF
cpeA1Z2R+B1UY0IaFjq1vVK8t7hfNMhRbfOlb4YLbsp1m1gf9TikNJ2a05w6NjYdQj5TPoU6XXzN
zHBLtNqD7INvaPd5Oof80BHtAQdx2IOGGn2thpBg5tdAn4FgQj1LYozBLvHykdWflVMcR41lWp5m
EHxcdLP9Csf/HqsqcxB95zn9lXbkWRfVIbAQ54GW3qRJxvk3FhCx7PLeRJDtx3NzsfRwNYXJfuHH
VfFwG9jzR8p9/A/dXSD6m6YeVnaNbX9kXj3PYmvbzcbUjAMtwbBuy2LmFDa3nuyOejFv3cIafA/7
Yl3pn1Go4PoQ/ScTbKOvcJ0dcGNdjYUdGIZ3xuyePJdw5XmmUbRndaPbKXl0uELxlySbXIsXvqTs
d7AQr3Citmk2XYXnvptipiGsoCV2m7ZxNVoa8mAUiQ5TV107x30cY0w2uQQIOebS24yJyF5SM2Dk
Xg3vSdsfo1F/yvrikBCzHHktGddNfN/PgrlB8y5DrAK9Ud1GI9uoZH5MDYEim+E8J/CmLeRdowWY
yXTvVbOb57Eej5DJmS31uYNH1fU7g+ILbl80LtSt8Gh1Hce4NR2CGm8qE4l6WnBRbfo0ZJrCxspc
ZqvNnfLd0d1kenxgKpMgus3nNQHkXy3keOtpKEfMG8abN88Xo8HORbkQrkMUnrSK4J5Mkqk7oq68
jrVu7HBcQhFZ46p+LhNxLQl6ZhamVkNJjHLUfpE0KwA8bhxturQ2uQ6C86vB7wJuoXgcJ+2pGsuP
WUwuA5uGdQXxCGyKugwpWRTo9yFLQD/K+qS/axhibCRzur1V6KRyEdlL1qFBUOn/sVAW/7VMIRQA
Jg48LDhyOsPqn8uTtgaqMxE+czEe8tWL3A7X2sdN4ntvH+/bc3kTb0q/28cnJtvraF9uoxsJgvMc
/SYH+LfAXUA8/6PA7d4gfmVvffsXs2W+8o8iV/9AGesgphI/0q/+KHKNDxZ/RDErzSVH5j8ruSWt
0MFPwQqIeSSII/7o99myCd2IqtlebBc2FlWG1b9wHf4X54HYmp+KXGbLLkxzXoLL0wJ9Sf9lJae5
mpk2Y1Zeemq2+UyolUxuDUtPxKajhL1ytwydn2fyVlb1tSfSzQoJvW1E/hFuIDF2Rn6qRfMK3eUm
a4v7OI/XnSZKFO3B2ZXyzCcn9QtH7UJzCEGzp6dIV89zUnwD6QsPbxAtAd12eSfDeWvk0IEifAs9
dgDi4jHYZV1y7nosWYzh1405FMZnAP6sAlWYbTGhusaBrqCJb0Rqd+EuNTQ8VTqJuECAKjNBrKYx
PV8t3icndvJd7ZDnneHo+mgGHTCDIFdJj6U1jKxTk8Tta6ICBres4cV26IdkpihKjg4rrMRHpNoy
YWgkea/f8blcpgNrw+9Y3VwuiN0M2G5PkM9KZcWzs3B4yQgmtmUh84LorQKiexwFtTdx4feafXkm
trH2RdtZK2q/TT0HKCWZq5fB8CjAAGvNfOjAAg8MMIpBHTBprolQP41KAjq3id4FKNxkgglx/FZp
5RGusLYqu/6MOh0mKDBid6nCGs+4H3rtYIMrBgd064IvhvK3yjW1N+KOejPfh2COQw+3E9jjvmw+
62CQPciuAiwyM01KD2cfGOHFjvAW1Fn1kAFSdoqYLaq+U7K9bzrmMaM6EMfznHPfw85889wWFxxk
Zjc3BQD798IgyR50swnCmRElXCUwwGV7DkA8e2n32oB8dnp3XYGAxhJ0O5f5xQUNjd/ntoCL1YKM
nuE8DiCkrby45b1kpsfMEsR0EpS3Lcjp2ZRbmq4bOpldZeufhEy2rJHPldl9DksclstbHzrsRBrD
j3Nj5wK3xjHRrXpw172I1lOd3Da2gMtNTuWsPUrw2FmyvMPYb0D8HVq8BCgIVx5AbY8Q56HInmlj
Hks9uu8AbweVPJmAuAVAbj2Be2dPxkmB6h54ETD6jHUKxDsA5s3qx28iSNBAvrWYGxTod9mCQnGn
5lvjCKTy432z8MGDcJB34Il2sa1ghwcWIUIivzQZThBqIBDjsSjJGiPZElbKWF90W56UwSPVs2/N
QGD4ta1Ibmy9r1OIvnLMgTaYVJDh3Vh39nqs4vWQZc4aq8anLpl4/Ewb8F+wo5ubtpoZfGI2fVbe
GG3dvP9IRhI1kEnXY3UAhssZIDSN8woRi+NrEWPNatAKyMPGGRjivdXQdsK3YpI/8o4PiXdNKm3X
WjnK4KTcV1TCRNo5yZbi8Nwl/Y6Vry8pjXX6pQ1PB++WwH3i9e21hr7lF1Z7FCadeTS1kKXiCwag
k1lrO4MlUG7Xt5WAmqnq/Etl5bwZswZqqVXrJJj4ZXX2nczcQ9kl5ropE/BiKbEmwTx2jPh7v9Qh
i4gIimQSVyfctiwsKF9yUb50joWxS+SDr+Xzbb8wsNP4q23SCWqu2AcV5stxCf0ukuHeLsRT59k3
EDv3rtZnW8DrFesUdUZ4M60GixMg1/DqeFXRr0Ud9Cu2C/U26adTCZBmZZvxJU3rx8HuoYdH48fQ
ljzvwAQKDf67m16CjF8NsAD86U3ySCFd+GSOE5olNXWa8a0eI0lN+e9w6ztFw+DC/fu7/0BU9n/f
+svX/Lj1DfnBXi5pRlE/MBg/bn3D/eB4OuyG3yOK0Xf9h+5k2ZYnHBuzKT3xEnj049aXHzC8Yqqz
YF78Viv8g1vf+K7f/rMQh1AEQpt4DQy3TFMuwQp/1rmZOFVwlzsdwlc72pZlFlNc54Sw3k2/xSzG
v4UuWtGgE8GIPUxtJMMKYwP2ZyrwskwxjxRhb/V0wW+FOZQIeIU+ZWWM2NtAE2WRuTOcIs8A1lhZ
3N4hsUkGQs4Dryw4RCDEXJ2+95pi7ejVYB1HKVWLXY9dVfvmzF0zz/RygdPq/jg2cGpgREXMINrK
O0e1HrFMQyJTK2U91hBKyVnMVnVfpjhq0yRfG7UajjGDpq1wY/w0WdrfG3aqPuuFlNUB+3b4ebCa
cZu1en6K7bTcZFYZ3CYaM4lBS6K9bbGzXLlgp+4MRwSHti/h+VPK3BrJ0IG8qN5LUOJgx4Vo3tyY
lWHWWYIIgkCSFyeT7qPg4CFyrZBf3DnzdkOUqVNILGfAQbnLNMu8RxCUASMK4V6BELeYeVMUSZqk
A4otxiD6IuPtk3ZrVUZFX9XmHAdApD+ThknYDn0xy6ele/e8SHwy52q+RjPV1SoVvficwpA9ElYQ
HqY0aV9M2Zp404W4Frg21jMn+KXv0y/8SosDC0bjwWhjPfMTXXfPUGE95DFldIvFl+ZqkvGtjNt2
53lZwzDQc2+ZGEjwGgXk4SnnCDbD6Qv70+wkVdA+9Wx7ty1dnt9qsYBYYiy6oYj50OQBSGbza98Z
aUnPWsv2asbfZVV6eYQqPcDIS2/YLs8bPO/utpbT+K4sShG3ysObsQTqCnHD0aiebJ2gxDZjWjix
MMV4CJ9hcotdFfYGMRE8RSPIlhH/nxfcoHSyn3pPe+aWFidBnsGFlx9stTS3zqhzrC35sPplmqPx
JnNVcghjDJYl2dln+C3TfdS4aj20qt5McT8CrZ6DbVu3bbj+92T9frJKDrW/P1mfSIvp/4pMtHzZ
H4er+wGFo4ABoBso3Zfwuz8OV++DxGeIcQ5xIZsDup0fh6v1wdMNHOrIDr+vB/6kcjQ/QKsQtgOw
yDG+s/j+weH6swSfhoqmbAHZAac1mCdav6iYR5182aYp+tuZ1dMSXY3nGXVGvvrT7+X621n9Z2os
SNtfOzfYB4JLwljc/Qgqf+n/DTh5tZ1Y1a3eS+8Rro9m+zlqtHlPsydZVXRFbx3aNpgfEiYwmL4N
0lBcJ3ytyoT4NHQ6R8PJUX3Q0IzXaDLvzakcWAxOodMeBw4M89PAh9QFDFYPA+ZZ5ryDNcTMKbWM
rKgMNm1cVaXYlCrrcTJrIZgYONnFS5xO3mbZmOjrtvgiM0vdOlaVXayeFalvVMyvtmUwmn429Cst
W5hHTqxK86IPCwtpyJJL0wF4ySt8qZF3BaT/TQJQKupwGwBUcoAPFQCW5EJaEghIsOvETIGCrZcj
Y8gPwUR0iJnSjTInWmdT/R650T0Y1lsDllNvDg/ZYkRWVpO8OilgusXFdtacqiElRNo3WUweOpEa
GyZ9yPI1zXy3khZCW0AGRNHVaMGHgLDfTIMOpZbwN++2LSgsZ+EO65BAjl1XOI+Tob1gGq3XOKUZ
znddKBxIs9hIQ9BFG67neONay7foBLNQu3lsrI5EadstovsWqBxAKaPZeKNOtif7GX6LYJnAwpCU
YWkNAhQgCLXdQabVSND538+Y4EP2s16XAgbhG3F8Fh8OHuufy4R6auowhBZ8227yN3QwxgOk2xUj
TQZLBZ0g9rpwA61o02wwLtxYW3ND6ev/n8FeyxDiP+UKLkPMjujePFsuSzmCcH9+HRAcVE9iSnkb
iPAGuenop6BmGAparPmd1NvUQ7AQce2Gft7Vz6HTBDcG75Gdcv9ODhacQKdTFvOnbiy9bSsCeFhd
tQ3c+ZMjgXAkAVJa6v5nulpnJZp68p2WpmDE9g81Ee2GjMYNsrmdMtj2BeSbWIReztLbzya7bSF2
cDjI6emaJQGaTVFe7BPu85J19Ioop41S4UmAF2QAD9uRDINVniftmg/xrRoJOqjDZRZvho+hKvcs
vs/96Or0EtVOT3nQHK9GeaMnD//7Lf75EPndsYrEm/OS8ZTp/XKIeLNQXpUHza0+kIfIQZDxwxOV
qyHHltyyIHj+LzLJX1tN/vR3/vJuauPgNEMatrd1aL6ShOuPbHZYBTp7K+/B09KthjaEJwdSr8xo
yaVVTKcZVg/RSvJUxu6LHrc1rnXtPUDFQ64isAv7Tg/mLzKsP+UKGERNgvu/ibXG9zt5aTT+/k5+
iL81f3UlL1/140omjU0nVRYgCMv533LVflzJiGsZMhK5hkuZINc/X8neB2fRtbomkzG6EI9v+KPf
8T7gQ4C7voB3FiuD90+mnEAJfzpAuJQtB5Yh30uCHqRy+MXEMptRHoky1i90ZcvIb042tvGpDL/q
ZK5J0pYauzjFLndRrDxxUhX/vhHOxTaKS19XWwBh91nff0JU6aO6H3dtGr0UjdzVEFPNwuWqqDmV
nVfDtkCTjd1mdtJjJ512uf5hjoX9YzUWHwkvRSjuUWLXtdGt9bh6DRKAp1Ic5cSex6jf5ghKaTK/
CEtjKDB2qEoLzv/EYYUa71to9KukmF/Yju1VlMY+0I8rqPLXJC8eZ7c8eUn9QgGUr1Ip3jUETNQg
TzC0gLr1ctt42nZ25mvsIRflJ9tVHnMOVJLQWDrSRwLEa06gDl3M2lxDbxQW1s6ptW3TDi4SVfep
VmiMq25yDjMeiJUKyPTQqb4Tpe1txYlhAArY99q0Ky3c2MbAXt++V1V/z6a+eczk9JZVIGXt2r0h
1OFZR17g6iUbU308h2klCfeCSiiTYt/RhnE49EfLag/kebOLC+TNZHxti+JTGPSPkysJkIBpuELS
C0MQzk1Wm+fMsb6ZDvxYKsXH7wEhSmcZp1EddG3Ilk8NNoTgaZ+00w5eyqYa4lPf8jsLw8xaK7aA
WELSpBua225kg7UJnKTcdTKW47Er8ZXMVqV3h9J1QwaJrAMN0eFkqUu9QYIZW2y+25aK4C0baoah
nRQdciuGbavRVJO1DJCgIWUoAcKIQ66yvHPe1xBlS/NLEXGDEHsi1qbFnSREyf9T+lrN7Rcgf5bv
pfX7Am5GhZusYWowgTXIhCKV5N6Zq+nomM6tFglWb6Lie+jIRrXoJRut18IdWQSPwwN02YiEK2Z9
Vi2/JlX7jvrvGy03sygnewpti0fBNIlUGadV2opjU2jxJlGdiYNjuI7ChJLjpXsral7dVHZbU7Oy
jQzc16ljR1ZZNqEpjvqK2ANiOSNxnhwkwCxUXF9nhnrOQu02fM2GdRGSFUJemkWCjMx5XgrGfel8
tItil5TV3WAiM0fe+lhZwFzsMtxlaGEJeofLrNvPwRJHL/k3rqGew7m+i4PMnyytRaHxSp9PBMvE
SFxznDle862Q7DjpWgPJD3QWda0W0bM3IztPxTueRPV9P5XhIY2iRVhxS8TYzVhU72xjGj8j9Uzf
1lPafPl+nP67QdM5Zv/+Xvl/WRUX3/57jrZ81Y97BQgtl4aJAw3fAznY5n9aveXKodPifyjave/q
sR+tHgFbPJ0knf8HoP7jXnE/mAusbKHGed53dO0/aPVo6n69V1xBS8kLdJfLzVj2dH+eo4UN8ufE
dLOLZtSvYdxBpOyzz8YkD5mBzChhPQxjcONIhDSDs50RAXkTBZ8LlC1YsubymPO8D1GROr3YhlLf
cgY8qHgQG9chbGoIp5PeBWtbQ54fG91T7IrKz4zsFMk68wet2Wdp+5bbMMV6w/oKQgp9u5aHhDuM
x9Edvqa9Uftuqk9rJoEbexoY0U1oFfRey9Zk2Y5r4aJEAmtNmPGk28h5imlblOgLJgk2NMyQUktm
3WH3Yo4de/di+lrq9o2B4BhZC8P+cGiBkYeoqCJozoXjXRHnPg/BHK4SN07JdiAQIXOYeyV2Evtz
iK48z0M+xwGqhm47OYSe1wvwUajxaY7CM/GZxwpvR8TPBC0uZk0lxL2K0/UQ0rWlhTgHhvgYkHaw
HbI+X1FgkOjQDh3pS5rLxNHc5+YU+4FbPdMMaz7DNERLvgQzHz50Iqk+6bV6mmZLHSGeXljJYHg2
wMoldfNpJI4zLtJdXik0K70sV1DEoYGYNANR4J6jUDyZdYtiP1YXqHf2Jk2hWws5h5vZYycUcs/u
tLK/N7Xoq8yCcgfXxzf6ND3CHevGtwoivFXZb+1kljv4qbusb8NNg8yhfPKMqHgAHFCl3+Jw/so2
6H429Q7wewXoK20i131riEgNeL4POirb/diJ8iKawLtYedDeMF6DNwAWSxHPyKEOXzXSQcGAob81
k5nNV1xiNsmk86xg5TpxHp3NsfxWz4PYI8pdqIa2Sx3y7zn3vX5ejqW/P+f8t+xt+Na8tX9x1PGF
P4665TzjIPNs2yIBkNnyT0edB4Ia2iWT/F+FApJRPlpXTsBFZ8AB9OOocz5wYoLa5uC0PTb2/1Ao
8N9HnemB/OZv0injvV/pJUVI0A48dpwuehbuK4j0UcgnrTHVsXeGyVe9aE/kK5Q7U5/NnTf2V6BY
s28W+eeGocW61dp9NkVy45kwVENlm4TNRrXfRyzsE8Lk1lHnAj2rF+SvGvNrHXrPkWS1NzQmdnt9
PrqBeWqktQQMyLXUol09Vc+BG5Y+VNgz/gE+JGU67EHe3YR5ghnDkjczye2EODhnW1iPoaxQiMXu
nUfsEtmc8V2nN2+CDhMOX4h+XoKMiyPYOkQeE08wn+3CeR6DFB2sab54Wflsgw/zUla5DjIymZ87
l8i1RkWPRUPnqhn5vghA8M3WfVEkWyPUXgUUwpDBVYfskPugOlVO+ULQxy1tCXIHSQjpKHFR2NZb
l7lMm0YctZrTbaAf45MbMxJim3Ep+Opp47oF6uMBdwAe0UujRmw0mA3KiDXnqPpbtUzUwlkZO5l2
28Su78cUHK9MmVtoYr6agf1FdNXHtJ+2yjUwpYTFdbTs7RTleJdZzbJyudq98xjVAS5ea3qxFwdY
rCQeCMOCNVyQCGLGxAAU+GzZ09w1Y+FsifG5GY3sWzT/f/bOYzlyo03XtzJx9phAwmNxNuUti55s
bhB0De8SHld/nqSmpVYf/ZrQXgtFKNRNVbEKQH7faxVz3RKoGMGto0zAwFT6l6R3DfLT3d3ohXf1
lRVRhM2Diaw+Z0qSJUjYJnZpFbDqeB23LGit2fZb2XnPkYN1rasLzMo0WnCuQm7k5Tt6wnKVtDzd
jFoQv4qsUQ8JyJh2MeUTCl15k9L8BET9HEo93IW1dRU64X7scTxP4B1rfEDWo2mn+gr3lsFpFC/L
oj4g5NhntjjbhLZLL0w3IovlehpHQr1Ch43h6zlc2F27HnrtJq6GD39OB+XbIDVRl/V2rgl/dtua
5PDaACmqdr5DN1FpAI+Sj+kR2e7tDC0kyFeOr6lv3cd6Ca2Qr3USHDnhIJGF/4TJyoTTbfu72hL1
OvZD7Bxuhy8koDlEzJ2gkJMQU9PObn3ENY4RUMEVR2hJHYQFjUAXSRIkuejcF27WrXHfiI2pkqMp
pdE3WmZmsNBzd5ywG4KAvZvhYN20QX6L2xvzj4OdvWr4XaJ2oBR87taNVWZM3jMuPu6UhJLzhRlV
14Frn6Jc11eVTiiMk/ABUpjRtuLQlDexxU4spXeNqDbYj055Naoyrr4dDr5RflB9SVXXlLzmVl4R
pNgwoI9auqIZgqJiG5sYS0q4imZta07LZH7BW/PRy1OSYKce1nEJVlcHXAZ9Hrzi6WfbnupzMLOc
FqZ2Ry3WrqD3ZDHV0aMWpp9pxy1jYClZVyqt1WcII9eITi3VnZVl9/QOf/dxZ1MWyHVnZu7WKotw
bY0ze1k1t1hw6uKkGaN9FkV+j8m1vhp7hJ4eyfRr158DIl57DZF+UC5DSWhVNPTnXqZ0TrqkfGd+
fBdJrmbbCimeylhwrIBvfAzY0dNpvqE91KGoBFixyXtSYSbt1mSJBy3gxopmgE865YdlkabBpp/a
ZFXWrbVTZq3eoqhz4v/VmfUN1QTHrGzu9EAnmj8uWVL7QwB+szZn1fTdfLV+V6OQz+mXrsn50jg1
qJ2633RPXxqoWMmhaiWM8r40Uv/OBL/NBKCa/3kmWH1m/3VVyvav1h9+8PeZABuMQC2ANZ2SC8sD
1vodVrP+m349Dn3rxyLzg+my6FOEn7UJ7WAPhuT/A1Yj6gOAy2VjUb1OYPv/yCGjsOE/UHnlhxcM
JbBpnk49o/VrNSLBq0mTzQVkcjnu9DQ+uWG6NPv/LesbO/ufXojfhO2OQcZnACJr2v519NDI77e9
KB2ubSQs+zbUPWttzx20L40BpRGmVNG6Gi0R5YX4oFOdVg+uQehz1bSUgOY8/VIpUiosbNTrJR4A
k96MhWZXagmTz0NTUVfsRaSAmFWwjJrsruIFl0aVXZd6jEgZidvCqw3CazVlyXFzgjZm71gj7fUT
Gh7otZ9paaIL3aTFGzfPhhSUdtWxBq0afEKVaz1pnnv2rY7yPmE+RxaIGYf+HQ+dWy0frzTNvqJz
oudAjMFOPH8vfWzxQQ6/4osHmneyhR72/cqIyLro+vbG1uYNBuAn35OfRui+hPn0TaqjN0X3B+FF
jq4Mjo6bxxvW4Z3jB1S7knu9NKV8KJ1wF3tWuMxAOsgReyvAEjEU6NXK6VmbsnKsVhqw/AJNRLER
7fwicrROs5VcLA8fBEnTPAzNVa16LlzxIJvwTOFvR6bqdOvW3db2jR2nrbZoOdZ4o/iMw5YCqciw
77QJDjBvCfJ3/Re/5dSD8epqrDtNZ6G4sDFbOyYRyE2y5bz77iFtJADEPpNiYu/1IueBVDpLAa9j
oCukkMhaDIihNqnIrussSjYkAGxnGP0wxPHQCmvr93y20QBSqDl2v6qoHCl6e+dP9DMU87Qy5+Yx
dsSM6RtoyWyzu2bo9lCR/Uqa+jspbnhJh+kxwzK8Hc35YtDIvGgiut3lLD9EZnwYQ2YsUzIUcC3t
iRYRy3QYtnlq3+Q4nchecU6uOeNJz4r3OameI5cc7Nwp7x2oVoA4N90Nnbl1XaoXKIfCP+DLNZcY
+hLqodYCa9NrkZQhTbeehiHDdmi6EDqyM3LkDRk2Owu79Ep3h43wBnR4tUTDkIGBGZNY6gFnjWV+
DLjQY1sQJM3osaDqt39MbZMlPcT9hLI/ZufvRhGv0sTYm5ydok+vWjVYefVr4MS3ItU+cedh8qdy
oeRqvEcydE8Ybrsc/WFVDqnYa7mds332J48UhZVGJYMdU6zYN328z7pw+OYkbrMew+ocxnqwbKpx
58FxRVZzqhJ2/LYhiKJVFQgciz7Na4l+ncjynDrcsmaRXmeGfcw0bT9nxJFFYRSt53HKN0mPBG+Y
QMgHtHxjJ26j1tmOGHTTmRho0r3w6lfPg1zn9+4+suQROd+OvOXXMdFfZhvGHgKdfIPsJbPu+qHZ
TdRCVDRjZhrwYCGXxoYhJ/ItCitJ5B5Ma9cbMI8iKhf40no6KpJ2o4uUz7O36JKgMnwsh1WgSZxZ
Q7XtIBSmcviG2LBZxJP1iDEQ9kBLrPq+TPDLeRboOVWsFPn8dMD8hWDg10xPnqKqlMPReQ4pTlfZ
LX/Gqkg+olFycqbrAW5zYW2Dw3hXnkGnF9pr8YS3Z28ug0VwxMHfrZLt/xYVq1i9P04L9RDn5QlX
MSklMGz6bv/88jLA0ac53Xzdu6ig9z4Jm/74olFj8/e/51+9jqEjlyBkyrH0L9nETxFufsuZFY/9
fC3iU0RWRZZ9+uF+IDPl71/nz6ffb78PnydnICnR9GSpffmn16mZ6u1ORPq1Yx+lA4DEnGc9/f1r
WOpD+fVD+/mX+eVFukjXGwNo6brfNI+Ygdb9Tv/wVjjCyjPatHBxK9dgYxtj93BFEffiqj/Hm8dm
HaxvksOw2FHaeGpX/MVVueGf9ePfvz/jF/r460u1DDJz0BAKIIpf3l/WzTMeJl1ck950Fdzoa/0s
nsKDwbKwxKazOHwT23F5VW+GHVH7+ZFsihtMYxvgwOXXW/kXRFdhx/95kLzvSuDNv4LR1c/9mCOB
0VW+kQvvp4RJv8DopAoJZkVDPRtUbOUfMLoFiu6hmnIoUBYGd8Af2BIR10DyPojUb+D7P4DRUXH8
epljPCG1DusB8iwirX/RmYjexr5JaehltqODKVCM9uSBjWmxmjnxNr1N4EISZGcUROnG5qGrI+2L
q/YSYWgosmTlDwZpP1xzpjgwzr2mnfWNUOhlWrTncRaYGqzdHClSTyunZYQGipbpG2IJ0rWT569M
4CS0RhP1IVlXLWdw4GM+ZQAOadQsvLwlBsKMWItK71SY+TXDKGZFJsnFjClZ+umbQ3qAGYjriBiK
SiIYh1d9poJBZbY4F8+ukXV3UK70HMQXsnY+nLIkyolwleUcuc4y7jk27ck7tS11IEF+b0LI4fo8
N5av3IP3w4QyK8nCbel0R8ee6VDtnQv9BIeszUJC4uwHk4KnuWxfBoLomp7gMYmWdjH43jWTBNr4
EqVuesXRuMFZESw7m2rQxM0oWJTak5+juCjnaqXbySmSM3pJuERIvnZP5TBxJ3TLbSLHzzda4r+M
bn5t993JIuDoqqpvIC02OW7syRUXuJdNZ463E9TvmJA9Z2LUM0W0RCv13FvBE0/tjdNRnuX3g70z
s/wtnqDHsekQuNkR1TMmV1PPR1en3Y0+BlAOqZM/1taeclGvXbQAfguzdvsrNoFNgA0buTEL8dT1
dxEsOv8eb2L8pKu2Lh473kZQz/MyjanOsIZya8fMgtKjCoZYkrrne0gSjQYN3ctW5YToZkIKF3uk
xwzBh1UDsMSOc2+Vzq2GzGGptc7Jz2EsOpu+mqgiOyKW0a2G/RzJr0X/OXb3sU7uvaB4R26wKoL8
hh7cD+aHx9DHXcr5DLrAL7WrAjFAxAaEZpZjuMQMtjEttKqxi3m/jAlYjrvV7Oc7e063cNi71DCz
NY1h5JYQ04S/qlpZDj573a2eSbxb+5iXoYb4tOusiZekO0HAjoI26YZxjx1E0FECleEIvzpTUftQ
z+ltUHXeEssXQqWYfIB49DwayYtukcnyqFPAfUIIjYu4eY4d92Rb9m3RU8Xlxn6+1MQ8b/MigfcJ
JB6cqeDKNI2XqqjvvJ4v3h7C1YRzR++Cj6DXxMrs7Vu/8m67IdgNJhkjIgj2rmJtbC76BXFrm3HG
JSsFJl6WuwadlxwULwOFP0+vIbP60m7oOsv4RBetJg8IBVZ66qzFhNFJKBcI8NYWDV6+ZsDXUEjj
zga3mV+1dHpte+c+HPv7NBOMut41tYZ0YYe4iAaDtkMz1h4RHRcUhBNRObebaOodmuhq6q9EqyqC
yJUptOmV73U6ILBel1VFIIwHfmRo1qcxNudM184j1Mw69qZirU/zK4Lv3VS19rJ08omvCzab3BSX
bsWyWxj1cJe79B3VTSu2iNxwnZgO76fPitXQcQXy378bGWz8BJsErE0upJdpt3WnfzY5l4Tl5DGN
re5DJeurJosAwYT1WVX6xdWGTZOAHmtGZilKCOOySDaRPstTIPTtWFDHmPOJH+uCX5pAsX7ZtcU3
K8/KTanxDA5jz1/2vbQWbEG7AIH3ji3vtXbicuvzaLRSUrfMTsOYYp3nNro0JJShHKdIFpfA3ZDk
A/g7bcCNvk2kdV9RUUhN1J0IAUfL2aMboHRfw7A6VE6Ejc+KV0OMbMHWuwfNmcUSiUy9ziiVI2WG
izptgm8EgX6TbX1L3QLIbqbtaCLu1jkPuIXVdncVwPZKpny/NBKtPJM6u4He2UWYy7dEIhHgKV9G
/oUH3ZZAnJxSwOZ+CobH1GifZO1h5k27J8uf9Z0wBrHCz4EigFjyVexF9nKKCLwqw5qoSWHuZZPc
FY65nSucYUEqvg3pqBMFkGzsjOXF83Hmm0B6vjQee+dmaA5z8DzERysybwpICsQcj4mWP8RmzldT
tFunKK+MqoTIzUSz0xPnU/CgZwP0r/vY4da2yAfQbNKSXGeO1xnFawtA1lXpD6emym57dm93zHj8
xtOa9Mm7wnaOER2ipNt1T66CzPW6PdTtlfIPtnanrHDhtUUY2Cor/Xhr1BLGQMZPYpq3WSaTU6Hx
+J81efYnVwN17NKN2Y7JYoYVWTSVx7eFnHWowoPte9qy+aIPxReVOCF33VnQi/Aw0Xko2oXFFpdD
PiaKhZT4s2MaEefpimkalrLhe3YnwutCDwaE+DNavZtD0M44nSkPv+izNu8C/JL7HnMgUQrQoaSF
TdtZIfRR5dXQI06y8WFccmB8HK17nkYHB3g/xWCzkDRMrTSW4cfYrXhCKD7AarRdBEGA0ijcFZH+
aU76ZzCFbxw5qiVs3E26tsohGYxU51fnPTamKFfpmL2P7LYLO4zQISe4/APiKIrQeaZztd9Ogo7M
oY7WtaCFysCt7/SaSvhwjqGyTb4RESes4JZopp0GB3YVS/diVkRlxV0OgpDpD3z8nOIQK9WYHHqg
nk2FfVQ2zjbxGlQzpltsilFPyU8EvqFNQq3+w3PRjigrszvbmlZOZj/kfn2Np7EluTXdD/A9Ms5I
o4IAaoipEDBCbmm983C9bv2hABjiEohhj6hL3/CAE1uk0hzZoiF8D6rJnckbcVoyJ2ChXB/lUBpE
HRxFOq3liJSM5362ihSBJR3kw4rSqhyohLg0XufGKHDKDltqpng4w4Qx5D5LmDGq19xlmWtrdrgl
TU3fOFo2/WDckr5w5M7d4YjWMf1ED9XcqKw5vIiCoxY+Lg7aYwA/Z1fieVCEnQ1z1xgjuBRUHmYW
DZYRa6QPz5dPaFyFlu3n+CAteR7DcFMNRrrqoAYjxRFS4fvQVf15Bn/Ri/gtg0mswZf42qcToZrd
blJ0YzE651x4oDo5D0IYSd2OnVUNR5mW6AjhLDtFXoaKxnRm5ykZ8hwKTp9XoSI7tYFouF4RoGQj
V0v0zIgo8oK2RUptCfCUu0ZRp1JP3lycLGQidNdu1UCvyr7cksTfnPIaNrWGhc0S1+OhFGzTLNC2
/pet2fiyOGNxxO7stNrBUQ5oJyr3PtOW6lBVBun5yyz97zr2heubf7uO3b0W/7X4LOL2L/yB6id/
LGSQ/TZqdoz8Bl7Ar8jt34F9gXUQlarrQuyzkYHe/1jInP9GX4vVQ8EOlqkCH37sY47a71DJ247Q
v7IE/olcFnH9n/Yx5WExQDWUltdSe5+v/vwnbKPpUP70qaddIVzC9V7ue5UpWGROsShA2TepO1Fr
bZnLJMpvdOJzl33M+jDU6RN5TOUqS9r9LDmCq6SDEXUcHn3DFKzqGvcUFrK3IR8fy2R8qfT6zPmw
n9EJn9DyyTW1jwRlmQ8hhnmyBRLuk+x2NFQXW22+OyJe9i41r6o80tdJTaU81l5Qxf2kj+53aOxx
kwzVXW4kD67IxXpOYe06zZ2B0dHFdlW3ikW1ylOmoiSsEDDhPytYNBY85xDpaBRPkgMJEJ0fIsIt
iX4MgP/mwaagLxitlyrrtekmGSgg3BB6PRC9WjZted/ROVaNC0Hk7MpH31SWg7+pBAFffTNh9NA7
d1nTLNPb5I6Q/nXdJXQ5+ATy5iXDLsr+j9Z1PwMMRYsg9uyF2V5lJAA0SH6CafDR6HJMa1N55440
UaPnfcF/QywCUwXctCCkquyPTtA0h1ov3mqD1MkV4ZfE9lHyR4i3k1vGTZ1ClhSRSzDrlN7rdC1/
8cnNCAc+6tZzYZWPZI6zw85jeeK5Ny0118eF71/MkPLYDHe9aLY5cWiZ7x5GO3iGvuKhmprTvuTQ
JXhH36NzyhdEBExrZgRjGThwxno2m0vez5MXtvGhj13oVz4+hJsBeTCDmV8wbtxnXtZv8oqBwHfc
o5XHbbpohzp+TBvG1zXFew5TPnab2Zhu9IZcV92hB5DuZQ/xlH4X9tNNUEuiaKV5QT9CFbaxqxtc
3om7D7J5m/YdTOlMLnIb3rdefhl9wldHg+NL75dWzjc/VCRn2d3eypMn7I8ci9F2GLzHXEPP5stm
h13hnmrOkxziO5l3z3ErdgKXDJ1sUYWuGZ/PTF0xCRU2UDDzNn27J2Y6/chXDjfbJZ84Qxa95L1p
U2ivYSsgaIxgMc4uDer2iyHzdaDiY9ouO89hcEsDZrWf7DY8obS9i7vhrdA4VJt72dEh6Nf+TRgl
q4rwnqKaD9IRj7qfYHIvk20TSwQRnPslgt64SV/yjqpUzXU2SsTNHl2toiqMOQ0RKxJ28OoH5DPo
OU4mZ74a9P4S6d6TYQzHstFWpVB6QfvNrHSHwsrkbg6jy4CxrJaD2jsfs1oXa90gB6xIGSBS7SrQ
/S3i9Ksubj2SLYq3nujZtTkEJz+c8LL25Itm/DVyi4e2axeDzPde2J36tjjyN+f1OJrmwS3JAUs9
OJYNaRUThymRr7eRLmwDSif8lsTEWhDcyYqgf5+RGkGLfGv8YTP4xJB5vAXTe2m9AqG1pWEVbVem
IJujNXcyrJ4n10VqnUPyMBmdPKO79URNQd84sIdK8znu5H5o0ABrfUBmtnVjJuEey9SNUfgxmXH9
2e4Ja0LFsw0K6e19WZHt725JZX7CfHcK9ebBLSp9kSU64RBkMlfZOSrqI1n4T1hP7ygrcDG79e9W
zq2myzMK0MuYEdoVTsQQUT2+y4z6WPvGLRfJoexYQCLZXpqATlCXdQ/K/jmHoZyhFjd9o8MYDEfN
F0fN1JFXDBrBIeBmUhlcUTzMw27o7RW6lRNlzds2m2/IS2oXbl5j1JXHseKS9WAT8yZ7CPTiJQW3
Qoexb6X12VjVISqdvTCjx76J72yvuUcemy1sB0WCHe3d3ntL9WovcqLd5rzcB4Y8TW1xKGaDO0wM
JC2nR5JjX8bMvPMzpKMGrI0oa32ZsLnjMdwUVXWx8/IYu973f2eTr9lEUT7/GSo+v8qYpfGVKaRo
uUX2H//3//zm/1E/92MyASo20VVTRk6AgUKEf5IcEGUEEIyZH6kzzpw/BhMXb62FF/dHPgGczI/J
hLgiD3MmVcBIBBjO/5kKUWUq/ESIMJlgWcMOiI/HBCo2xC8sUiK11HBnI7rk+mwF58ho7ZdR6ATY
2rIowutSG1D8dbXz4kTWIHe+xuG+GEYNym12m0c/sso7349tYvrMbkDHVrjtU2N2tMSTrO6unShB
gwYEhMkB8lGhQpnCh4zRQb9UbOliv3QKQMomlYT8aihkKR5vncbjmc21ayj4yfgCokCkxj5YdSBU
kQO65ijQKpQ90eL69JoqQKtW0FZnhA13BXDXpIAvHwQsK3rguoKJ3u7ouw2hD3vwsip3bi3wsxyu
epWa7scU0HPqSWYOsDY8b3cV2FvkwX6WCo5DgYgY0ACi8xRYh7s3XhJVdZuA4/XgeQa4XuoU2SkH
6SPXu8NhYyBPa8AJLRlCLQ1kuFVghH1dPdTWXJ1NNo/FrJhN6RW0DeTwpYPVDwupAEe8qzwGizA7
kQ+LCap6NhU82QhW006XnwR+TuvUH7O113Q7it62OuimSNtV5ZL6MlEXbykAlDF405UtuXFqq6kV
TBr2nr2LC/7N6kfgRr98LEBVXfrVPZw0XpW9izS6dxT82raJdQpAZONKCfSAaHsF1gYKtg0JCAhN
gNwys27RFt5bEsVUaLtg8sVxBvutFAicKji4KIDoKgURl+F4xLi5bPWhp5u82GYKTiahinwoEGbk
icSGAjk7CnwmfXLtVK3CXWDCFEDNGbqB4u+vOgVeUwAHji2tfauAbU+J8CVY96xAb9uMrgoFg9cK
EE9AxhFwvwUKKkdQ2aEa0zeu9J6IwH12CccxQNezPET8qd6G3t/i2trUwXzJwOOb2Nj4wTUXa3ll
gddnfno9T85LrID8QkH6cozrhaVgfh28v3W47AQMQMnW6SlKINK8J81FPtcqukAkIBOaRGkBk2BX
+cWEWcBaet03HoHPinQIXYuYoPrFgo2IbOMhV/SEA09RwVdM8UDGDgyG5gebsK9psILb8BIXAmU8
kwnyiTP3voEDoQzjlChSRFf0SJv57POKMkH0+oFOn1tsphXGG7NuVcGw8Ms7TIrRc63IF6HnFwM2
hj18Qy7rm6YFSzTD+sJVxE0Og9P+RuVER1eRO/AaEnATwkfTibHWFAlkf9FBihhyYYiomUnXLZyR
aILnTJFIpmkgGIJX8r35lMEzdQJpLLwTQVqvLTwUvsKlBy+VYLPKAn8fwVc1GYcb/BV1HukGr9K5
U9QWCGyxmUBaLUOll8B/TfBgfteax1jI4obxHFX/2AsEG3PR44UwkRvhONyJxHuCHkSSWeaCRM2Y
oJA6I1k9byCzwqIkqmq0jOtxsg6aHouriBtryXduXwoX55jdS76c1h2f5roIb6UQ2TGxEpuBgPTZ
IdOynSAUcQH+45rKsh7qi95po12rmcDqRsRLT5VObFVCbtK/x/Rvx/TfQgjn8qN8/4sz+if0gDPa
9z3iPXlU4xlQTO9P6AE2V8OEzaXx6kv79z/oAdo/VPskWsPS4376CT3gTzijLRdbrK8rdlj8E/RA
GRX+fEQTSQF+6QuCZHQKx9QR/hN4UJe11XpREl3XXWJTRfNVpmW7F0HJCg+U8KtpK/2tdqurZt1f
NbHq45qwWqIs++rpGhxBZxfhOjuaqczglby1RF8PQ5FppH1ZDe7+KJnEOpw1DeAaSz2Je7UV4fkU
nTF2sJf2nKFja/xAdUMVrhku+8lxWrgNopemhZw6F9uBjOto56IOIX8nsVWcryvtXY1/J1kWOd0i
Tj1k8hJaWQeOYELZrEPcqtRZeew/c9tpn3bMAP3vpf916atGuP88oX7r3v5iOlU/82M6VWZyIDEU
p8Rh0SWHWuGnKx8FAVgaTnM6mZQT5gdu5pMX43NbqLBU03GV8unHeIpVUM2nPn/0Bar9o4I7U1kV
/3zts/O5eLyJy0BmJVQ338/XftbKVh/LUb+0SflMSY69dVKTS1brwJ09Ud3YJekOgCT+lXqmk7yl
RorGOsgSA8hQ0B9CspF9knLuFpaXKjjC2fZDd5d5Y3WWs0aenk67m/eOLo8Ks3zYkUgfsKsPez/w
NjAaiPDjcNs1AZ0GxDItXQKyhkLurDgq7snz6JbgXu8Oxouyqx6ksCpwD+SZTli/Z5OfrsrGKtgY
h91YjRhX5jIqbnTT24rEsq410zkGzuCv2wHlXj5o1I4LtLZZBr0QtK9uF74HuTdsiAmj6m6q6j39
MjneaO0Wc0t27bcSX4JDNF1mEhcWsHqvghiyM9SAc4pgQkNhoWryzY8mdgDjiapsuYeJBnyODfO+
LX2kqYnxiUZ3XOMxfJA9PGvd7Dt6ctDlih3Rwh+6DimTRNGOYfOm0JNz4xiQCeGR4Kp7kRDyYc9E
w0tDv69caJuZL6HliF5mQVAsWStep440ssZtnr2BaaypyPytbUp1LP3ayyyxioL4JmbspqNn8IbD
NCEEJtbvu45pWMc87M3xsVduYjNpbjs1YYw2woNZ5s3SxXycOEgv3CpbuTMS4VrTeMIUpMNJOimy
JsXkBAoUF4138Y1q2mYFFhV4rb0oap/qWFS/dQ/NOLvhjdalSFFi+92nzeSqnozvWWlPDsxLiVox
Mfwr6Bw8TYUk3DDFTNHaDP5FVlSHMC0vEYMeLRneZdBK2r5wgC3CqfxOYRPcnigPnTSuqrIqkNfM
EO4xiSaiK9FF29o2wXSw7EX34lTRY4oNcik7fwn8iHbHiPjcQj7cDBXPgtz8RxfvvAjKN8yfSCFN
62AV2o3wqu+Ib9ZdNG67evRwNjhyqbfS3DtZva+c/DC29toKzcsk0otldsiuM5900TJ50ofgwc7B
e9rUL5eR5j7INrR528YpqEju0TyEJnWtPBG6fptP7QGF9bZOk9s4DtdOl30bdPlm+7JcipS+tKnp
rzyG8ZVUxU+lXpxtzLNM3dqBQkIaUHWiYzp0w1jX3ZNei3dSZcxV005PrF70VQsK3Bslz2nnejWN
/T4NZp1wUB1n1vAW8VmvHSUzLxwG79JgQSqqs0+YtuOVmyQy0RsZwTtrBlM+3mAtG+ol4uFymSbd
cZzSejn5GYm6k/3Rqo6CmjiG3EtOdSCNZVzl6RI9wzaJmhcvqY+UHTyIdH4UWnPD+8tILrAX/uCf
sWzhKjO6VTj3w8on8t8jon7Rzfpt45svU+tXnHpRtoyp+Tkgm9D2sLVAykQl9Gl9Z3HyRVV66zmF
vayw7mC6NYNmH7j8X2YZkQsHgyUDhE+JCdGW50zCOrQfkwitQQjmF1rppqDfXMQTsC/eKvdCqDjC
qqHMVkGUpazf5OQaOtUZtk6CnvifGvB/RYMq4OQ/n7PXsKmvzf8/Y6qf+v2kxY5KRiRjIdpAEIc/
n7SMkbA6OqDO17j446Sl+NDij6iTdeG2cK5AHP04aXHyq2Q03/6dvfoHkkGi3n49aQGTDGXlV1Mw
14z685+mTCsKCwbDSVzsbGjTXdxTJVp7dXpGJ0gke3ODf/kpaAK0NW22HbCSEmnULHKyImxSJPwA
01lMroRsK4qySnnjQKj6NAR27NQOSRQmiRRzt4P3+VYSUhGEm8gLL0KlV5Qqx8KxJx8/JEK5tHFI
aJ3mj8zy0Qp0tAhaRGEw04JymFq7sYb2GyHGO+RF5GYQoBGrJA3kNmR/mfpxVikbBug86dzOoiOA
o9Aw+eVS/4yJ5hhm48NTWR2lSu2QxniXqxyPdGTVnLQnORPWgTeNXjXKyPrZvyqcaTpqVnrrqFwQ
mrxIQCQqBPKQvxg0322VItLPzbvsBaYw8kUSIyYVR2WO5Cp9hLjYdz19tjmKG2deEMAZ22BpTuJH
q8Bt5Wr4SjHBOEmiSRGZ9M5UjMYIYVTmifjKP4lHme+ioidnRLWa6vGkJDwa5lvVeaoDTi2Y9OhB
Nbxso090o5pGLwVdk2AIUzi0N+zfdL/NmbzpVbMqZDw1HcjzFwZr6KJRBsVIdbHmqpU1r2mDmulp
5awe1pa0oMLLhpW9ixCS+mBRgep4JZRkumE3Qk6qGmCh8egDoRPWV+2wZEnFZ540yQqurTlEBKRu
R2Ly2M9x569q1TKr0ZuyFWn33VANtFhWumWtWmkF9bR9y9dHvKDSn1B6JQiWJAyPPltLdz59DUVr
x1S1LiouVanimHV6cEs7ya5pMEnXAvudytwhxg4ocGupDt20b+ytF9WfdHP6WxQ/bDmSzl1Xte/y
ybHBqEZej84+EHRaeuEP+Wx0TV8UjAIL86vOV6hm31x1/FYThSIlqNCiUTXCSBDkcaBn4hgO9AMT
oB0vVJ/KtmodZIYIExZBY3+PQYoXFhXDZKub24YAJDQRMw3EiV8h7/A8603PVc5DwBY2qM5idFbI
Nyurp01OVRonqt04KcjG4J4LD5KH+m6gZaRdR1+VyKNJO7KPDDj5jk512nkslzeloC3Q8MgibDlC
5dGs4qXUx/tME+GKfAQbf6efbsqsfgQ3DJf6HMBycXqsGxLi7L75RtnZU4a/h1A4f1hH+Tyu+5wY
oUR3c0C45FEU5XVC8MTLxBwFnBFGp6nzOMoqgiTm7iYu4Kxsh02yLNx673fOZ5T1L50eED3vgXT6
2vchaZXWJP4GInLIrOxZ1VBvzYY4xiyX6iHin/ko9l3qfy+5T7WO66LNvXs8fNe1iA4VNQ+LQpZX
rm69o8V+ogljXAk5XrczXJIn5a6cm7tm9h/qyAnwCOdowDq57pMJX3YQT1tqQJJlUsAqenlxHMJm
KUk7DHUGbDcEfqQztD7aFB0iyFVt2cYuLrGKusHFM4ezNpqMKqzF3CmxpJVxBIGKs4KGQj9+S7z/
x9559baRrOv6rwzOfQudwwHOBjYzlZMlyzcNWqI759y//jyl4JFk2mvNpi60gcWbwUhWNVms8IU3
oLZkRnW48jS0Hy29gVqDffMhgSLVKhNDRN1IvjuVwZklNynhTXGeddIVrh7dMoyi4NBLG7YyTm3z
aOhs3hKi1QM42kXecya5WeddJBANJxXb5eLR+HmUXZeaKA+tc5wMQzdwljIx+GXslfnMVul0csI0
yyqEoysZvbPMdQWwW+jbbG2M/GTXGpZ9AxzYrQJtBu5FnzsjaBezNH7gETTOIn1c0489Q5LrKNHC
Y6PpRVtSVpdaB6KSthne9noVLGiXo8+Bhd1Ml7NspZq9MQtzRD39eJy6QaAuVU0UtEPerZ+wa9Wu
gziXggMzfSRph5xTSqaGvURtw7swSohnfisEWzBHXUohpDSI1N2k8Kh3I5gMgZqKxH+qac/NKwAy
vw91TvCh+zXQEUKXL4GO8qSTgZKQ+sKWfSkpUGfDXAWiq6GgQKSIQsRLSQERb8oPNMr0nwLfL4GO
daAD4MalmaKD0Ov4Zx0vh2Le25KCTc8LfSEVPXGqFJb4/atApxq5OhujMU89DcwBIs0YNNKCBqwI
TR79YRqsbkNXVcIrLJ7ZtWtlJ4OMie+8CcIB5r4hxyd2E8goOxBim5Y3FSe4PnelRg+dOaxMonIN
hEvcTzok973brkmkfDbKni4hI2dJTr6u9BKUBye02V80oYVYgi/h3ogVAaSLPr0F3xJMNVR3ED2F
5y6EeMhOgdkH5aO+UbVwG/k6RLenTLlaMoA97iBfpkLaR1E4tyC9H+VZcpQW7rGCChB+x7Q0hDBQ
nidc/mt6HC6BAdCaQIgIRRZyQnFvdWjrcvU0Qmyo7UdcJ5xzRUYCQzSVpQZhInT38gkUpnzWJcje
ol6kChmjgIZ5LYSNFBSOkkA2Zlw859g4IYthtubUFIJIblvU8H3HfhZxIyITgXDSYHCq4qkyl40G
/dUGeaUOnSV8aaEkYkXalEhaJq7y0Pd5BsuiWoRysQqEXBOsvuNQCDgFZXnTGBRnwgLIbkPW3ArJ
JwKvK4n+TiHEoNyI+oqUEJegNL7WMY+DCJqdhmp2WRTd1LXyI/RBMFZC7Lul+6JYiFJzw2KcSzPO
b2e1RrE+jmZwJKVpCzQXmQFQMgQpqUuCqgr8LvzMCDYvmF5Jq0+AuChYS4H3BbK+VDzvFhPQcBoJ
TLAm0MEgLRAbRGVVxzRLKerDFqWASSGXt56AF4+RcTSAN64RqkAGvMXlQVlFaXjppe1xYGizSECV
TQFadgV8ORdA5hLg6FQG2ywLkLNdaNtMwJ4VAYA2QEIbAhLtg41OtegLQeyNEHbJ8uJM8uFt0/5D
IOIRZw3gOoyTmw59DREoNbJ2JwtItkU/o+3iqz4y1qkAbZsuiG/kgAFyC0j3KMDdeY5MsCYA337X
3aaU2ImKa5RfuhsFbLheAWnyQIvjPH0WVsZUCokSjPp7L2DlVYo8RmNhEgtEdJYJ8LkGCt0NqWhl
ApieDd7aE1D1Asx6A3Y9sr1vqJ4HUyDaIRhaAO5hC2VYB/PeCvC7ImDwGXh4ScoOZcvZpI9AeQGZ
V8HOU31cBAJLD6Ze0rLzDjMJ4N7alS5g97Yvo+vSo7EHIp+SIEaoYPT7IL4llEuXKej9xBv7VQSe
vxHAfskH4p8KsL8mYP81+H+crbFxrtCBjAU5wEEihTKBvET8oxRy+YtEUAlcQSoQXpwAZjuk9Icz
EHDbUhAQMpgINHW/IOjqH5aCpGAq/TYKnMtQ0BdEEQSuBqlPNQ4/OuRnJ4TN6cz1VH1K1EfbWZAh
YkGLgJV1Zbp0p6n/Cg6VlLEAwKYVQ2ZM9Ywin9dvTB++RY1w4Lw3HRprxQnh6jaqe20GhQU/uGhg
QdWosEnyj7LTj7wMSsaY3aWWp9L3L9aWFnVTUGlHMmjjhd1L0O0bGu69qq+9Gsk2dPXhl6jhiRJh
wzj6S+KHI9QWLkKo9kkcrv26uHJ9TJ57B3WcDtBL5p6ZUn6d0xGZaGhSI8XlmUcO5yJnIzU0MoU5
Qm8iUMpu0wxkk9VRg43JXA3ECeadR88iaLsbp6qbSZMR2bcpLtFpEN31Wq2xHXsMAhqZIpCWkWyp
ySIa/Fu123YlmBrLwI8sHfQj30zuemzcl4pDNbmr1bnbZjelMHAkVr1RdWPre9BbhsiilqjBs68y
6ok6Vg3yj1ZhMdBnvc5LvrAOTfKZEaOYpnhpsSgS67wNo7kHAW4ieZ0E57Y9NaToko8KfcU/g4qv
Lwwdwj+K1tRaY+vYol8w8215jWNDgFaK3a/1zrhScxdivDMuyzjYJhi1TLBVpCXdjemqitovWir8
6q1+BNNRCk+Ix+DgPwUhQbf+fZR0vfU3u9x6xV+9xEm0XjQEQwzdFDpjb1T3Ve2APrhMhMK1Z4Hz
+RkniYKQgYyvjcEYLUFYpK8LQtSHOI7ABtE1gfb5T7qOyKK8j5N0k2BNPAuskfnY/3kdJ6UxpZSY
t3HWOn5UUXQEQ2zIqzBNpcMm9uZKjRiZIVy13bZZ992gTPABBE3aOoe1EZnTXNOUhRcO17aUFcsm
TOifKHiKQNiah01+76k9nXlafr27BNHcSDNNam4qoPWXSO50S7M03WNfH8x12Fszs1C1aW615Qlx
J6gNT/XBgSrfawowstvUq7xLT0s1BNBMBhXNsUmHMdlfYM1tXhRAoade1NkzOYaGV9pmgmwQZDcP
lsBkcHKHDkoyt/sIEHMjAQOw3HkoEm8CvQclpQM6q1pkjWvch3BXpF7i5SNwUo0gInJT5cxVqcj3
TcrPgGSuLAWblpzHjyLtKzFe4CkcUaNICktNmIeTJ8bkiyF5Y0/+WJeAAwkdUSwjtTRFkpnVrYHV
d3iZGdU0MrOjVqJVVZoaONCkgJ+DRMekJG+10frA8EqksrYkiBxXDjluDkZmbRTjedlFCHKQB8Px
vM/IiwuRIKOxcIhQ/blRu9deSwrdUY1uyalLcmuZHBtrtmqmirSb8om1zOPsa9jFhyaZeS9S9IFc
vRdJe1M7i4As3kidbS7SekXHdDcUqT4mb5k4kjGwErWAIOi4bkR9AL2oc5uCQSQqB4g0ivyO9pMk
6gqJqDCMVXVrUnKwzX6awdmYRx6hzuAFPiyu4iYTlYpE1Cx62/RmFWWMjK8+jlUkvoIWdcd0BMNN
SwjNKL05zysAnjLqonM6gfeUI762YJ0S1JgXrqY85G4EhQ/28GGKJKUr2drCw4puYfYYyY/4vfB4
lW6KjNq1DIi2RDu0MGa5rq2lxnGWng2uX7MzNkJm/xhCc6ZH1Xct73zszOhxKyEqXI1J8THFXZ18
gTaiLedcAVG8CCiVmL7rTKzSodUTsEfcHoh3m/njzCUcxrNPm0BYXnotDrq+3Z9prbtSjZTWXnpm
RvZawua0UWkKzNzuxGHMSq+v8qKj+zRY51Fi3lpOcgYXMZ50WjjM3LDH2Q8VkyLYVmn91Yp9mVu9
pkMT5s68goA0zZzamdRhusii/ERVqQ3Aqau8Zh0V3nGNJS5Uvgr3sOFcjduV3kAV5Kpltff9WRKr
2LDJ8Z1fYXJj5vT95c5ah4V1rDrJaVDny5gAmR7WAGUxivCxMesA9WbFnkqeEqybMDhWmwCibH4X
42yDbVBFuKK4XyiV3zZldQbUTl/6hNKznrQfeJFuzMq0JkPzqM5JTb30MLMD9z7iejskl53p3o60
kCmjNZUAlHP08HeYG/co6cRQK6K1O5bbItX0OX6lgHyh/ckwfrFCM6OJw7RO25pIwNUu6o5ihBY0
AzWjSp9FbWmuokL+gbzTkR4Ex4HvWxPgxhrLuphRzLsbTe3axYBnWroZzIWaXmUUKpfkvXcKGKwJ
2eiFKlG1UEYbfeRmWY/ghIrUdmEmtxel34CEVq9bv0JFWvJodNqH0KRh2FvJRYxOTW8F0qHfxV8C
o0a1pu4PzcGet0DVkExRDTKjOJ6aaRdhy9RjDyD7J2NKbAEfo4e9F//wRve6yMnyBgXNaWTv8mXv
hw9ljtFspqQT2e7Gmegi0Gqjrt/RX17Vdr6wOotIrhgvBnD3c6mt8Y5yvKteC+aNKq2wJjpynKRF
nrU8BErjcwugB0kLkTJbZ9LpNjNjAfX3KwX6BWJUm6Lqg2Wv+jgcdu2p2SRfVKM9HuENUIQN5nqr
L8rQm7eZfRTkJaLjbr0aWUTTbsSkEjzfEtr8/ajkJ4bHmY0ZxNxEFK5Qyi1msid1jyh8783xR/En
1YBKr6bcZTaRcoRYOwYVczeSV1bNaYqWri4kXBHy4eTGQSGI7Rm+7zEaSdZ13gQntP8IiTkoA83M
5m1srdjc/aQegxNFo+HZV85Z6YzeUtU7XIFLupExlpxWV/rYnNOvxqe7NNqWEtWYLdHU3XB3lvMs
8LFx8QeIA5qG3gGeTVAMDHVZVuXXIFKuDGq/cH2dL4pV31HxcslQ7R5aM0sjtnKFEwR+qWp/R4G+
X5ZOueD9fYf5mCGYmD1gYkNfMFQQDPc1XCCj0Ji5eXHOnYe9PL/rcv+odkDQgkHEd1jK5k7SPLhm
ROpvFQ+an56FIRhCV3Kxym7dEyU3QVh4g79AxwHDlh7/TTdsaJDWnGDI5J36lswuQ8N6IqF3mTXe
ajAgclqck5JLnVtKr4aMHCCQwm+Rld8bHY7HfpIsgQouiSNEYaa9UqAjTosWv/FRstZ57XMVp0JE
k9BoGigjTAZJqc6cUcdhK/kRyVGGUWZ3Rl4J11DyjmUtwNO3zn9ASffm0IPuugxjTKlI0FxJzU3k
GwYm0tJXuWjcCzC5J5zmwJ5OdNzr/QD/P1CJ4KNlGuTFaRbHmQ8wIJDRwSfrxL0UhFnhH/8njn4E
MAl9lN/H0YL+d9wE1V9n34Mq31F4FH/+ElBTXeT0wbzZUWX7ye3vpfD4GGvjzEdszH6hxfozoNYM
3AP5G1JqlFkA8hFrvxQe9QObgNqWZeD26KMBjvoHHVbGeVd2BBjFaY66D1pRNG3flh1LVXjFUSw8
84Dv4gAQ6P5TrnXf/19vm50/qRi9drDSzbdIQWE+Y+NAiPuHDQ3KfkwpXofsiZLJTh4P/akXWevU
b3CfV9WwXFhJf9JrtFFmVjpUyxE51zlJNFw6pbbJEescNUu7dswTq7SciqKOW5w0pWRjmNGANz8x
TUnu5zo8Rm8mA10d51UnI9PQyfkqYovOS6psy74vyDMzkv8Ob6xl6evFHEVRpK/MnP5Za56HVuot
8yiRZw26a+x0L1bnHtpd0jJNujG7SsvR/4HAYLvQlMClB2PTe5s78aCreOKh5SvPFXxHlbmvJ7J2
Vac5pCjo28VFTbMB8OFINUJBSq/3v2q5ghe7jxpCjGxL5NARbYslbMfjrjGViVVLp43f3hiRdo30
2lUZjceU1W5M+MIT2+SgjAL9uCj1uacXx74PUMjzojXYLOKU3jyCQU7VEphG63FwBygUyFw2YzYc
wpi6y8NwIBq1BKimOCspsa6c1D9uevm7b0bDkZ9r1lR3ISrbsUIPDITG4DjzAc7fpHboJ3o6Fbq6
740lbfnxCGHmoxYacp9EYIXBo+EgXXLpILA35vOiC06SztDmrqYDU+bmHsdy7ZbBJXCveBniuj7z
pGhdjgKvXynrtOqBhPnJFZqaR75G2CENsnk/tNC8hxJpN5B/iz5nqSJdN4dBQFOIGxKLrnWfF1wR
CDgq2DtMotqeGrZN0dILDcGNR0mm15sVjiK0E12HDrir11N5qE8KmPpTaKjrNuoxM4nlrW42D0pi
2BQnzARtHCxbJ35kBBd5amM42euBAYgIHpOlSIcO4dKysuX7SPLXoymd1or1BV9gYWBhCmdfrm1b
CBYdj4l90abpwgnpxJfuvELIKDE75ABjdWlTqZkVGhMPnZ3Lur1VBG4tB8RlOc630WxPMplwOyj7
QyOWz0cGbRVobjamKLpC5VzaqJWylaR+nenjseYS4lg3vfsts8dDMOD2wiA4KS0DKRgMvVr8iYG7
NbVdw7+Mjg3iZVzdlKmGvzYtcucu9tQ74U0+Kzvl2NEx7Oj0M1C0Q6IjhzPSHTTGYkF/4Nruqy96
1CL0F/Uzwweo21K+p59Bo7ANcFKJ1qiEcOW2yk0u+dfoA3+RcsEuAfwk7Kmt/rBwpMMe7e8Jnb7D
InSWsYkLL01hlDwVSJqNXl/qXUiZtD8yEPFDhwQMhhbDIM1gqapaHp4meh+teilR7/DrtL5WdoYL
cT8MLuQEN7rsEbye9H2sgBtwS2772p8VUhRBKxUElHoAQKZKOLCwLY7bHBvMRhfBbly2bjVtCCTY
YaSo2NM4dUsF27W/jzgGQX8wb6SKGkNbmaeunxOpxTk2BbpTsZi1aIKORnyE1gysINW4rGUZ6cmi
K2Zem9u0RcKjNhuukjxC/abLMHXOK2+BWvRX07wK+eZnRYOShdVX6aGtxeaJm0Po7UcaJ2Tf33UP
bQWzGHy2HPRh3biWvRxAXjgQngzecZgoI9U+9yKqs+9N7+BqFs7sUCVEl+QrF7ikpuXfaE7QlghX
bVj/sMruLDbGcOHhzj7RuvhODRtEoaxv2SBN0AeiEq+AWXO7MMeMIaUVC/O1co3ZgKZoCLsqLNSH
xKz7ZU42GqbtXQucwtDrnAQHd6UaM6+SrzkCPupat0pa3RhNemsoqARigXTVx8Nx6nSruoDQLHXh
recP66Bji/b9SesmSy+hGi/H5mVdj2dGZd71vnGahfrU1tvbDg0GpcsOA2tsF62OlXcPZJNvY56i
YjoWQUWIaS6hP5ClxwXVEzugat9jQEPZcRoa5hWqzMxgDAGbdPu6aIPDWqM+i2kq9DL/qHAzUrkg
PQ+CsV5loXdrDAUcW7lcGYk2F1IcUtOfaCmfPvGtY7uxaH94h8gK3Tl5O3PHbJpj5qyBm4cVSh/N
TWB7RBvJlmbwbxC2R8+JOG9DNHfIXM+CsSdnVJ1DvRkuqlzmberVYShLq9Iwv7lwMFv6LHrdXrm6
NYPxPy4q4DCTJPDPZb3/4codJV+ImLIOZ0wlDXCMeFm4xXWS1vTI02zVwtNZ2U4yHCuUfUNVPW7K
4JvpIg1VQpHDoKhepAkVo0zXu3Nw1ti0lZ42j+zya0q1eyHJ9pkMLAPcQVEcVQodyBpxlAV4pHs0
wZJZIRO+drnJehnRvRzovE80PYgferRhZqqW+JSRB/Wk8yv3x6v4bEcQ8k55jhDE0dEUNolCKGUp
5rvuqhIZ6NqmrnQahl/M6CZyvuvGE5j/t3HOv3qEiLReNXAHVrEZNTxCFq0n66zJz/rw/M8fQ+DK
X+lEPn8ME+EGXCJMQ3v3Mah2DEnnBN6ZjIOJbZ2N9XHfX8PA+vNjhETo+8cYBK3IkJhUe99ra3pZ
OGhW1HpnDbTsIiQdVdmHxZdGP+8AQptVCXPp8PGZ/ynJ6yyUP6QSUPFxp25+BS+Iv3vJIUgUdOJq
/G5BQaqGECH9mUNoQBTg8xjoguCt90rY8VEgHIUPmbKHLaxB/i7KU69/lHMk7hd62wLA+Q9yCDhg
bxYMdF0dvBsGJEKF3OStQMp4vfYh1XJ/gEI/70vZWqSt3gGt0gHB693Kt2AztgPVh0bucObTDPlI
jhMqN2ZgResYms3XAHrgCekDlQJNK67CxtRXRt9Up13k5g85TgVLKwaR7MfWAOpM4ZrJHanTJoki
9edVmdRnRRjqd5Js1gvFBbYxBccTIyvppqeRlzsgK/3LoY+pGSkEbarnIxxNuf1LbQ8GBmVWedWp
RnNSV761jpo0KyZWI2EJYQzZjdbI6ABrlbrNjCb+CtAiXXlGhdFZ7labFj+VOTXtYE6dFKmjsCuh
2Lb5RRem8xg1hIUXePmsRT0BjQUp1dv7rKJhe6TQnh/6BeFRsyTYA2ite07on8LshyJQuFVanlk+
NUrLQxT6yg8dvAceKUxjraFZcmoDNiSQB77d68DjiHlQW2rzjjsEO6fgyJSQr5sETTx8D1u1QJ0E
rRKncPs7s4u1zUDlJiMlMdOF55vG4dCYw1XdZSNifgbgVopaMoBBYEuBByrRzVvvOyspmMrpOG7c
yh+3ZtB/LaVikXrBoWThrpsoJhpMBrIIUt55CrIfzbCMCH2OPKUejqMMvXGjdiBC9ElGWB10XrCo
kppKfNHizpBHxa1OOWsdO8oXLSLczCWOU1+wcQ27rAGnVuaV7efJupZq50suF+Zp7xTyDK89+Axq
bWTXGAcn26qNne+S1UmHlKkh9/bJWWgr0qysW3xYJKnq4T0WRT3r3SD/YUlZtR5yNwVMa1drIHTm
N29ULEQZrfALvjDhsQVh8qTCtZ7CqJVR1BMxT0RfeWx66YjFKxTj0+4s9Er3qz0m3ZcUIat5k/XB
lRT0+bnfxkjIQ9mDb6zrLVTwSlco1Dp+Pa96o5p5JbyzqQebeKW26tYxYSDHSGL0nXYxmFiUkLSZ
yhaKxrgoApkwJq8EG9Y2/te0R5+vi9mm3swf1Qsumm05XG6rhjbzyxElfnuegcm8zv5n/+jPAz3r
JlwP+fb//Z/NQxKkaBXVZXBfc6xt32kqCGWCN6f74xt7fNd/HCfeoM3QPPAEzmJBckPlgNselCr2
cY8/l4CCHVCQ0OBqIsArXq9v1D9Nwp8/39Ns/vnf/PG9v58Dg3nZbw408wAfP5S8KYQ9vriq3kwF
RTR4sDYq3Fw9POvVOvndSvjzB/zwSdD49vacBIuFgJC5aG0/vd5NgqoeUKZD2Vn7FCvh9WYwjOfV
+RQu/1yc/2Ij8AF/7gPNOhCoAwKV368BtK1VvKeEfxqvT7kSRIz+ASvBlnW2PdDSxxcgiDfbgZWg
Ep5bItD6lLtBfl8//8fHIkeChV45Kv7P3zaz+mYOOBIsKtcGZ8InnQR9/0mwEAmUUd036RGIF9/3
m0kgMeCH6LeLlOBTrgTtffrzz1eCSoZjICcuaOBvPj2YblJ5OgokPo+vTzoHoquy592Asr84WSwL
NLx4vb8gwWapMq4b8OI/6SSItbv3JID8ggNoiKng9X49sBuwCSZPfp7wzxclCP7inpOgiyAAaB73
5NPr/aaAzUDDDWwmlg3i9VnXw/4Hg42VKrESp9/TJ/1lPagHkMsRMlM+6+kojrQ91wP1H2o7SGH8
ZlMI4ouB5AsUlU+6EpT9j0euCK4H1OKej0eyhLc3hXGAFxHBhGW+HJ9M++c7H5Sn9OafRdEiKPg7
jDYOEDUTZ+TTJ/3lpiBuErsGWtNnvSkUSud7bgrySdDGsLaeA4MdwSOiSg4XxaedhP2PR75oNoSF
28/jmv81eFRRxYHzBmT7s54MT9/OPttBP5ANVdXsl5Xw/o5Q7AMRP6N/AESd16c9JPe/KdAVFw0w
FR7ry0d9c0gKa3KT+5L8+rOuh6c3ts96QMPUQiPKQEHq8fV+PZBaGxpWBAhOfNJJwM113+PRQvwV
62eUIn4zCfA5bNSyFOxYxeuzbgp9//PBPqAxbCJZ8rT9BQbv7aZ4zD6R+rKfbqXPFzOo+98U5oEJ
I9hCEfjx6/51EjArQKESVbWntff5JsHYO4YUdXiCBo6G57yJtfV+JSAMIxrvn3U7iA7CnoETtyF7
QScw+s1KoPJI1xiB5s+6Ep7D2n3uCJoNJq6Hmvx8Uf5yJlB1Q6eCMsRnDZxEr3/PlcAdQVRE7Pi7
O0I5EA0ZZuHp/Pl8Z4K6f7RgC6y1SK+fexK7VoIlsk716SL9rIGT/iEng8FEiFvi8cUKe388wkqw
kdH4rJtCsFL33BQa1jwyuKvn3PrX5JpdI/RHgdQ8PuvzbQpt/+jRPjAg+ZIooBwnXr9clKCVUO9H
v/9zR4/a/nUGOvToZNGAeN4U788Him943aI68mmXw/4RNBkVQZMOWvA3IYPCHFCKcZyn6/SzRk/P
XfV9Agc0gdBE5NJ8Ljv9sjOInlTuTOf5fv58x4POCt7vjCSOxjmEthxijo8vDpz3FwU9O2zHnsPV
zzcJxkccDCq8LQ2dkqcz8n2Z4RHQQtxgPnfKP+Ek7J9W2qSVSNGTLbxfAsoBv7AQzv4Hh8G/MUU/
IWJTH9j4IzgMovguDNnv/sELaujX37+Cfj2iXd78SwEWe3r4EzhK/P9/vcWOPXYbXv32pfvw+KTn
v3/+iL8+/M3DXj7Xyw9XwbbclPdIJz+C057f6OkmAV323zH/edi8xuqQ2WmiV/Tys91At5+HwJ9H
hxe7fRnob6chIZj+90f9FUX37w2ebB6y8mWgV4OzZvYeHGZTveuNc1jtPfZ0E29avpLqZaxX753j
df/xM3RIf/lKuVw5tj5g8LQuN39NcTPc9Qh28t6PmG3jv05h8O2af3KHvcefx3/NspLF8zLWq/nn
Rt57/EWJ+MSuwTnk9x58GW/T9GWcV2/8I7brqkm+Z/FD/evwAsa691tfJ/m2DDbxy1B/v3vR4d1/
+HTYMenKR+zYo225Y85FM3bvd30UpN6Og0D0OPce+3gT7dhDAg/3AUNX1XbXnHzEBj3Oqr/+O/W2
8XbXzHzEFj3ZPHAAv8zDq4X4EVtUOOztmpqP2KL/wr3v8YLf48I+2abYDgW7Ti+Bmdp72Zxsy/vt
w8tAf8+76FntP/gfLJP2npjfC8h+wND1ttwOLzPwalY+YqeebvIdC13kVntP+Om23fwaOxqIv33A
4GflhiPgZaBXk/IRW/Q83txvd8SOoiS897T80Vdh39VyGRA6VsHDjpkR9cu93/zV5r4kJUh3Wpd/
xC79l97o+87Q0wPKdFM+7DzIRFnvA6Yp/WsWbL0dEYdANH/I+At2wH1Q3e96xkdsXzFRh9mmaHbd
VtpH7OF/TwjnI77wk0293TVPH7Gf+RT15q/Jpvy+2RUzCMzuR3zfPGMa737Cx2xs8SmwXRpf3u7f
Z6r+IRvb3+zMCUXJcP/5oYaxc/I/ZDP/mWS99/rM4s2uiEo0wvafGAKTXZqtAvqy/+D1Jg2qeNPs
iMMFe2X/B4gyy457WP+IfftHOdt9v9RrYnzcs1/m4O+9JJAme8/LdcNJsOOKF1TKDxicAlGyqy4n
2JN7D3/DCM2uvSrK5nuPfpfFO8554yPu3D/4Tv55tewqy/5Ej/9arH3hlu76s7e1aPEv7uPtpvyv
/w8AAP//</cx:binary>
              </cx:geoCache>
            </cx:geography>
          </cx:layoutPr>
          <cx:valueColors>
            <cx:maxColor>
              <a:srgbClr val="FF9900"/>
            </cx:maxColor>
          </cx:valueColors>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_xlchart.v5.4</cx:f>
        <cx:nf>_xlchart.v5.3</cx:nf>
      </cx:numDim>
    </cx:data>
  </cx:chartData>
  <cx:chart>
    <cx:plotArea>
      <cx:plotAreaRegion>
        <cx:series layoutId="regionMap" uniqueId="{11DBF794-4CD1-4248-B73B-29BBC6EE7063}">
          <cx:tx>
            <cx:txData>
              <cx:f>_xlchart.v5.3</cx:f>
              <cx:v>Sum of Amount</cx:v>
            </cx:txData>
          </cx:tx>
          <cx:dataId val="0"/>
          <cx:layoutPr>
            <cx:geography cultureLanguage="en-US" cultureRegion="IN" attribution="Powered by Bing">
              <cx:geoCache provider="{E9337A44-BEBE-4D9F-B70C-5C5E7DAFC167}">
                <cx:binary>7H1pc9u4svZfSeXzSw8AEgR46sypGlDU5k1esn5hKbZDghtIgPuvvy07k7FkOZGrjuut67rKVDK2
1ACIB+h+egH075v+XzfZ3Vq/6/OsMP+66f98H9d1+a8//jA38V2+Nke5vNHKqO/10Y3K/1Dfv8ub
uz9u9bqTRfQHQdj54yZe6/quf/+ff0Nr0Z06UTfrWqriornTw+WdabLa/OK9vW+9W9/msphIU2t5
U+M/3/vrTH5XupDr99vvkT/fH9/p4p2vmqIe3r+7K2pZD9dDeffn+61GyPt3f+z29WRc7zIYet3c
grBNj2xmO4g6Lrp/4ffvMlVEP962MPaOEOYetgn7u9uzdQ6Sh47nfjTr21t9Zww81P2/O9JbTwCz
8Ndvnv5mMwubWY8AgD/ffyhkfXf77qpe13fm/Ttp1P006cFXm0f8cHU/J39s4/aff+/8AmZp5zeP
oN2d0t+9tY3eb5C9Whf1+p2frTX8/V8HmB3ZtsM8G3Hv/sV3ACb4iHOOHerQbYBfOKz9OO9r5AC4
94m9MdRP17d3rwK4e+S5xKaE0f07mqAj5NoOd7C3DfjhI9qP9Y78ATDvSLwxhP/KQFHevs6e5sjh
hLv2w54G1byltAk5Iow4zAVz8GAqHnT2C0a0H+LdBg7AeFfkjYEMmurdKRge9SqqG3YpA91Nn4eZ
gOr2HLDaj3F+0aD2I/20iQOwfir0xtD2FRCPzY42G4v9X7fV/J5rebbNnrHV5AiD5qYMgxV/DPhL
x7Uf872tHAD7Xrk3hvwU+GvxGpvcPWI2dikFpv3w2tHlQMAZp/AH7/Czw0e0H+0d+QNw3pF4YwiL
pq7vXmFTe0cUk3sX65lNjY8ouF8Ykx0tfvCA9uO7LX4AvNsCbwzdY/DkzSug6x6BZwxcy/lho4FT
b1Ex2L4uvAfg7vrPhw5oP7rbz3MAutsCbwzdeZN/U9lt/d8H2EGgfl3sOMTdQZY4R9jF4FeTH571
tkl+yZD2Q/ykhQNQfiLzxoC+lO2dNvL2NRS1feRxRG37RyQMPQmFQSiFMQQ7ecdxftGg9mP9tIkD
wH4q9MbQXuTlnZbr7L+/rW1yxDzCqWPjhyiJvbO7MT2iwMooZg/LYcc2v2Rk+xF/0sIBgD+ReWN4
n6zT19jYEMIGnBmCIOj9C6IiWzYawiUeptjlDHT8Y7fq0PHsR3hL+gB0tz7/xpC9UoXKX8dldmzP
9Rhh+/cxYMswdR2IpGxje/iI9qO7I38AvjsSbwzhE2Xe/VVEd9nda9Bs5whRQmz+N83ezWJgfkSc
TaIDtvnmtaOuXzi4/Yjva+QA2PeJvTHsT9davkZykh15zKGQyPgR595FHTY3tTF3mbcTDzt4QPuR
3hY/AONtgbeG7l1xq27kq0S/vCMIX3seYz9o2C7nJvYRQcy1bW/HfT59yaCeQflJE4cg/UTozaGt
byCb7v/Xg9vgPSHXc7n7XCIaHTkce6DBnX0q/PTu0HE9h/aW/EFQb0m8NZwhlXGn74ZXQNo9cpnL
mI2e42T4yAVK5tq7+cnTF4zpGZR3WzgE512Z/wVI/3qIWw+9qT7562/uu6dk6KUVQ+yIQLja9bB3
v02fhkkg4omBj2MoMLh//d33Qw76cY3Tg6+1b0z70X0su/WMD4/460n5X1cXdN1ASdBr+MMQs7YR
Jgg9jyDxNkVBFKIij/3hw0e0H78d+T0Qbv0Kqt52JN4Ywmfr8nV8YgIOsQM5h4cduhvb2pSHcA+K
/vhOfcih49mP7pb0FpD7a/q2Pv/GkIVixEKabN28hjPMIKWEmE3d5+JZ+AihjTvMdtyil41qP8p7
2jgA6z1Sbwzxs7t2/SrFXt4RcQnjNvpRz/dkNwPa2IP6TW8nenn4iPYjvSN/AMo7Em8M4XO9hvjW
K/BlG3IR2OHc3bjC8NoNc2B2xKmNPHc3rHX4iPYjvCN/AMI7Em8M4VW2vrnTr4AwP+LePcY/GNe+
Pcw2uSjysAJ2EoyHj2s/zjvyB+C8I/HGcL6K1+Y1CvigWIAy8Gu5/cPz3ZNpsjlGnG+qCR4z68NH
tB/hHfkDEN6ReGsIr280VF8X9WuU7HFA2fWgEBM97NYn5df4CGpy4Q9UfW1eO8mIqxeN7Rm8n7Zx
COZPpd4c7sU7ASel1vr2dQLWUPSDOOQcwIO+f+1qcrDVBFwr0PY7GxzqxF82sOeA39vOQeDvlXyD
C2AKRO1Gmhv1NwR7IkygmV92UI5BHRhCDMIiP030bhGBAycFKbf3IP9zRIdwi+eBf9rMgbg/FXyD
sE/kXfQa6v6+goBRKBfaqRuBvY7B2IMy+FH8+fd6e4h0bk5DHDym50HfbuJAwLeF3iDYS7WumtdK
OkPK2SGwm/dqeDgwSTwo+PW8B4f8iXUv3r1gcM/jvtvIgcjvir097IG5i7X+9jrHZZ0jwH1TUfD8
cQzX47aDbffBDjzZ8y8b3rP472nmsBWwR/CtrQGVrV+lGgGKiCgEYjapy/vXk2oEApWEHqfI2XXf
Dh7RM3hvyx8C9LbEG0P4GuqJ4IKDQ9jSy2jcppwfDmyAgv+xfZ/4blALCpkR2N47ev0FQ9qP8W4D
B4C8K/LGUP6istfgaxzKDxi43wgOzG1TdHwEbzAMxza2tfahA9kP7Jb0Aahuff6NQfoRQi7Nq1xr
4EDOEjxv9NzZWDhoRTyIoLpoJ+n1giHtx3e3gQMg3hX5/4Hy87eZ/LwQZrKu18H9VTKPLjT59bv3
UwT33+yI/ghm7ne0HwKdi9s/30NC2gbWDNvvp/O9aWgrFPpXvr5V+u8Nui11B3HbP99bULtwhCDD
TSh3CJziwGCOu7sfb0E6jEAQFpLbyMYEdEChdB3DVTf8CI4AIKh82Gh3OEIN68So5sdbcKqHQlIV
IjcukD/2856flcqGSBU/J+XHz++KJl8pWdQGGibo/bvy4XOb4VJEGRSyIShqhCIYOLy7YQvlzfpy
c+IP5uD/qZKOKR1Cc44y+zpV5ooYepw75iLty0R0rRMvIyS6HDvzZBiSSZ6m4TRs3c6v+yYUqCor
wYaumajBukTOOPpxybDonNoVZsQXNaqIcDxoq2AqDrKkxAsv0kSUcXalWZGIsVBcYNWfWhVSIi+S
0u/G1vKtnoYTVrMkyFpiCV131Rkq8muo56KnrB2Lk4SQWiiXVCIKTRSQjM0c40WCt6rz3TiOxKiL
67jg9iSz8lIgbRZVSachr6PApJgI5uR3YxV/1CizREboXNnWlTWmWISVOR3HsRUjjb5BhVEiKtoM
vlZdUOhFgk9wZN+2cBOT7ddeNFcqjCZd2xBRjU0CM5JmkyLr0wkZTRmUQ7LuRlWKvta3Td0tcV12
wkPwQLoNF0bz1WCxUgxFYI0nTY2XvcO/0sRdKJQ4whsomniMnuhIr2Te98JpeSlUj89TV2ciQk2A
OQJIbGZEHUVmwbSDhAnzSxJ1zoVnxTc9KS5MwZvjMLMzX+IYT0mliDCsxVPb1U1QhqoOslQnkzDt
sNCInxAZL4ZGOoLqeJLw4rJPTSLQ2OCgsnPmczMMwvXyPnARq4KoqturqEa2H2LvU2SpRChZziqU
LE3Krh1vXGMrKmb5kIoa1UHSxt5EkTgVpa1jUTrlvEMt8d26WsIpGQP4VTPPzhM/DXGBVqVTF1c8
rKBjbUSZqvPR0TdSdWpBWmsFC3ztKamETqJiGaf4s67aUx17zcTiTjKRnX3Xd81dy4Zhauq+FJXh
4Zz19FsOW1QoGIqfSjedyq65oiQyxzlHyzZJvpSjdzxWePSpimeqs06qYSiFQRxN6yjEQqVhJ7Qx
Z3UywvZpr+Mo/FbFjM8L2+tFYuVX4WjHoifNp8pmi7SqozmnaikHlQk1uPmUm2LhRvSDjlG8bOvC
FWkyXkGb3UnV0tbvPaWCOnK1X8hRilYX6RR7G/B6e/CRG7oTHDqfjEq0345NI4wpiqUhTe/3FmMi
HmQlMpPV/tgb9TlCYTQv4livEpd6orOrSV8MeMqb/CMnYyKiOp72bYKFIUoCQGURhFnSBEamEnZ7
TRZGqlioxI0nmjQLNHK0qHi8YDjMZi6MRVSuPQhQi7XguVmZpB6Fqoq5U1fzxHIniRprkSR14peZ
hWGnObVvIdKLwYnZxIvMpHZwIRj8j+XQVRJ5Qpn2A+6TY6qbpbKHM8/RVy1rGzGafBZbYSqKPBxF
keKztm8+SEULkQ3xKneaizTqPvK0PzX5+NmEDhNpW4PCUclHtyVLp0fzwZjrmrtIVE2BBFLKFl7W
n6SmChjSapoP3Aii+9NQ2xdpMWRB3+GAkXJJmqYQg2m+OzT8KiN87qjkzGrLVZWwyuet+RaGtBdN
On7OYmMLp+I8KJL8q8kZEeEQxqIm5bWKnePeKlXQZrBq6tAb0o92k9C5dNzCnoG/R4JY9UuPSjW5
t1w/TOuWbbhR5aBlFP+4Bu7nj/+5Vjn8d3+52D+/3Nwi989Pszu1CRma3Q9t+vn5qX8uKNuYzJ+3
le0Y4oer6J6x0r9882Um/HH8/IkJv79JYI8FB6GfFhzMNIMq0g2jI4S4jy04eNkbwwk5FGa79ibs
+sOEg/cGxhuOe3kPZtqFUPvfJnxD/yjcm0IoteE0gee8yIR7QEl2TDgwBBdC/uAtOg7Uu26b8Lbs
DS2i2D43vYNgc7eLbnCqCU5sW2i3miqbNGA+h0+MjPbERM6NtvlJDWtrQlGYT5M+dGa1jo/rTiFR
oOLUSpAWfCybSW/as167ZuJ4Gu6yU823wSu+xDIKhjy7TJ1kVgz1ktjksirBxifV0AivJEZoTE6K
PKUistgHk3rKz7y8no9d+GFUyScaxQz07dj7bp+f08g+x50beJVasqxapHS0F2Mbar9JCffbuJ9F
6RgQXn53yviy6SK6LKJwBsv8G5eD8Mz4sTe5EinJibBJmgrXyYuJXYY+6lXjszL+2OHma9q3jh+n
8Zw0qhClYVrksa1FDfrWl6V9lubVMksdW3Raf6/aGIveUqAxM34ucw3MJKrOE9qWyz6v02kjweqz
XKUijXXkeygKz4yr0ARMzuiKyhm/c9KmZ63DbkYJk1uGeXxBwgGJ2Oi7uEbeaaKyBfUsUAKkHGZx
Yfi5kX0eMNYBak3sCB3VkZ/mfSfArMUCVLI7k20fCVe3dO70LLpAkY1nY5lEoopkBiTKjoTddUrI
3I4CNGTJ3Lb7LLCkJLMkzkbfHh1huz2FJaDUPA9DPMH9gGaZY+TUQWU4dTo7C3Rek1mt7Dwo7OQE
F9XxWCfnaYEX9RCNE5nz7+GYuCJhuRNYRtqToRmSAIdsmKVNlAUoiTlMBB4CpitvViduJJJeNzOP
mFbkkS4nSGJ5WXSMz5qSxgE4TskcoTCctG1mC2Pb1kUGVWUiH+FJq951hXSRO+WRVfvJ0HExqKgM
rLzBIk1TuaRgMmcRia8HYlZNg4ogtvggVF3CxQzGCBm7VAyV5yxLD1RxhAcphnEzRZIUXztDkw9F
LMHuxV4xH5oiFKSPlMjCAp9TDqwyLsdQSJh3YWurmfOOSRF3DpBg1sjbNJdMoISFQRvl1hzVybSh
WRCGBVjZ3C1F7hVa2I6dCyAljbCSjk90mWe+2ybuxYj7i6RvLt0uTwNDEiz9jGRnKZwMmNO0+l4X
47cat/G0LnEjMi/TpxL3tm/37iTTlbtwhy48cS3WznhYOJfEaj5KT9XWBNVNH85i0mMsZFPedDAq
NlqpCOMkE4bH1cySwzW2Ojzt48j1Uesti5y4QdcNWHhts8gaM4iSAcuvsyiQRWEtLQfNpW1/aMG8
+yaKr/MqWbKkWHXM+JbFTg39GjJy3Ci3/Qy0+K5z65PesSxRaJxMeNd0J41hxdzz6kRILVMRpeiE
QG9xGR+3rfO9Sjnx8Zidog5h0Xrs48gLR8hk5KI2+a1hJhJhni9UMlxA/uukoTL3VdzakyLnapZK
3Iq+jemkH1QvWglsSMPHC0NKnxmbTocBIMRVft5Y0VXWh1+Rar6UDqgHjsp2wlJ9LDu87lPXBcfB
jvzWqGiKGzzD0hZV6uigTQz4EyPOgWO1p4Z3nxoXaDuznJXXMy5UzooFpxQ+WaMEmEDW+mWtjpsE
zTPeFn7rhNMEqepcevUgkixBwuq9Sd3DdU+hmwraykkYE/dLGjY5DVTRnxakvlEOWxQN/ZyFOV3I
HItEj9963GrRqH4OD51NY4IakeNxkrnsLE5Ay3jKAh7T+alnKdEqPLcqdz501SQhMhGW7C7AqTzJ
iAEmL7NvNffmrLDPcFTOLKeaRV08AUz9PsPwM13HXErfyOa7kWyVVV0dtGpY1LkTBw3LfMtJL8I8
tMAWNH5mD8dxnV3knjXBMr7O0iiI3WLOmqyYNLm8zmTtN8TVoggNE/kwzkOOT2Tmc2R6YTzig5d7
FzbFIMCOWcPMcGI4+EVp5kducYmk1sH/cSO0CW9s7nF6Przx8+DiU350fwHU3xEOcsQJtqFSDMgH
VOtDmz8jHHAYGqIe2AMqhBwo9X/Mj6DwG8FutF0Kd07ZWyEOBrUJmwqGTVDkb4K4RWEhrPPj58fh
DepCK4+4EaQ/4JYUYEUcLsahm7JGqIF5HN5gWR3xnETWObYyv6kl9iFGcRd2oMVTmrmisdGU4mSq
hyjPZkiW+tLTuXVBWGuBDWWqYJdR5OVceHiwJ43B+lPIJRtuqMVr4cZhLggZnFlSgS9hCB9nkQG7
ayDoOwPKpkWvOz7ra9kHbWl5U+BFn4syRTdRleV+RfpyqmKWTTq48ku0UeuKWsFnbVY5oCOI/gq0
CgsSZXwyxi1ddgVbJokGgmLrBY2B7pjGmjWk+Zb34MK2FfjRmVcQiGa0AeyOUwgZeSJnNIg9pz3j
BRpFDv5x4EEEc6aHIYaoQwlEMe0hlsLBpA1eGvCIjIKEugxGu5uQujerxBS2ALKXfWk5Ha4w/iSB
KghjpWeyiuIJMOGLZKwLoF/4dECJEryT550sb4zspi4fIuHUGXiCLe0CxvtxVrNOLgtmUUFt2S/S
waDA0MpOhQ51J3iPwA8qOREAi3XuVED0KLiACdARv5bOsnIMBR9O9RcjT9isMKBm+hadqzKO515q
RX5oIRBKx1FOLWtShMq3iywFl7NTcx3GmRgJK7ygh2jLxHBmaZHE8ciEV5ThFYVuZ+D7lyiAhV0s
Ct22s9wouQxdi59KpwN1VHvhaeqCcHGKqya8wE38JYspFXHhriOdU9GZjARwsvhLiiHqFNbld+Tl
uV9b0UkWxsABkuE8Q6ny4yH/Ho90UtlRfT7kzuDnkCHwHc1T3yvSSFitu9BtxZaElthvk+EKdDnA
lOczJ4a/PM193NOGC2foiLex8R0MoCZNKIVuO+KctrS0loPNfKzszF5RaoAqazREyIie2j4xaTQp
k6w+AbKGJg0stHMIprlTXdHq2HWUmlhKzZTuiEj42MzsOPuatWxSox77g9WbZdfntsjaCE+pE/Kz
FBwMK/duiWVO3CS/UE3zIbTsU1My8EqIVZ4NQDoWoO8h4qDGuUU74K81za5REoYB53e11R/LjB1L
h50MsfIClsSzqh8CV41TeOZzPhQnNM+/QtDwmGJ5ksc88mVDw9OCl2YClMueNnF0FQ99tKjibKGT
dp5WABKP2bLsNhYP6JogKV9HTQc70JXnfauAMxSeFlbd5j73Kh+72cKracA11HNqLjqVYl/x7y6T
oFryqR7ZtEwroE1GTSOCLkvTTeIyWbDWOfa63u8wGPa4prHo+uwDz9A5cZoPbouAnYKH5J6Hnucu
Qz5+Lyt8ScdmwRo+sfM8cGtgeCjuj6mV+knbrmPXngH9D0wUlSKhfGXS4pIrcuulsIfzzL4D/+7S
sYAU5lV5OlTj1EodvwSM86SRvoNrEeUtBIpQCcw2vxmH4brbrEecJgtwO1aj6s9zngqWRIuwV3Nw
c3xQpKmfUXSRF/3ZUA0+GYdFEW7Ca1rEozUbm3QOtxT5eZnMXdNPLYp60ETyxuVg+a1ybjWen8Ys
GEp1XpQIYiBIzXBNwHVsohWps4lso3mP+CRX1knbDtMhk1BeQ8SQ9n4FW4Q4xA81BocU+WGd3ens
ToXNZV8zWJEQwkHgHnTFZ1qxiQF3F3LokFbQvhOSc9fhV6Z2p04Lbk/UXzq9d50lI5l4WWaE6tAs
d7TvhR6sQGArlKEp9/LvQyXPQMNNhyrzTcwnLu89EZl4YeNh3o/6M8L1cqT8ynXLzzw2l1E7XDT5
bQF34lcIxX7WY8FsOZVuOTXhMEkjJ4jR4Ed2fAFxz1PV2pckzL9jqwZWBoGnjokSobnltXNurCmC
UHlC1UlN8QcNI2WhZ4RLyyC02mODmilsxTPj8Sm2zdIOB+gQYrElTFhfmImqwkLApXE3XaM+Q1PO
tA/BTTMOcN8kriYs7vyh6NamMH7BreOsVovRYoEaGDibOp3GFhiJuAwr34shcNu4bEbq9lPeFF/r
KhRDyRaMsaCMndBXtZ4XnC5QD974SL0ZTtrPnUaflE4ulYVnodNPZdjA3HlBBC4NqymsTjaDCOdF
obLjcgQmbDVXmWRz3ofnoT0uCidftiE+jZXkomjkNM+GVRmiBWwwUXb8ItHeiY37L6WbTQaNGh/O
jH4ItXthtDkvDL1sekhicGyuGkonbQm+vx4bUdDsJKPRMuMVpDiy6FRvFNWowE2pj4mms7KMYWd3
fmJ3vuk2pKc4Dsvigy6HJSbq2CJOfG6FKPwWDTK7Msbp/ZHUS42QGLvObyFGYFnJLThTH5I6ZwvS
1VJ4rP7iUDDqTgoh0CgA9+TWzcEfqqvPqY4XwNrOQd/KAOl0hjtzTEcJ+zJjqT8i/CWmppx6dnqd
6zoTVZ/OUhuvkpQnQeqVolCdPSWczcPU9Tti5YEcFfgr2mdRF/l4IJM0SwIaF6s+cmdJ2C8h7ntb
WuBCm2RdaypKsH+wA0wmkpYFTRMFOrYKSMjUIq0bPwfKPunBN24tftu2dGokmkUtm0rUB4UqQf+Y
pBdRP077vDge6uhY1/RaUXDtdF36halELVPfijtrWRAH1noG+3SEmJFaZFZ9OlrdF6PLm4brIEqM
54dZf9o6jfZzBObvEaXdxxH3MERIvrlwpoVBIRXdJMgeJcBqCPRoqN6zzlE+l0kKkfxLCxISv+4E
eO4TGgpX52KMbAeo7eZIxeNOpJUjlzrYOu/5N93NuuZLr75H9iRv49/0tI/wPu5pM5JHj6NCNeAx
hJ4IP4udjbOOg3FcKPdj0nyVyvV//WCQo3z6YLCbNkWIGN+fFXncHeGq4WGmolVrfa2b4yq6KbKb
X3ex74mALQNZhm7sJ+HN0GU98oYyXkHoLulmzTAEWSwhdDSTkKUg9dmvu9vzRHAbADgtkHh1CBTN
bk9gW7iGDKiWK0iRCmlXoolmZfqbZ4ILvXanbauTzfuPUDKhVVM3hE4SDcFHfZJ48UM4/+GbQQ5b
1ls9bB7zUQ9tPdaQIYIedHnqdqWfquuQyd90AjHsXz7GzrIu0yEt29zIVW/ZIqa+J1eONKDgvlDp
u+acNOY3Pe5Dh0DhBNRFuR6cKoYw/ePHSiWHr6mBmNiKVRcViiBxtGDh95evALhZ04XTUbAOMN+Z
upDalstbnawKEwe5O2GF8rvsw6872Td1cPTK21zraDPIB2w/iOpixqTsE8DnS+GexOApQjZUeOFV
0hw7bSW68OLXPW7W1D+Z/ntXGFTcPz3ugAXBTE+XeEhWqLdEaz7ZQKB+3cPmmu9HXUCtIdQ3MAdT
OFbiuLBfd5SPUQ7E1nucr5ITvagXYDxPlU8DehFfUr8I5JT71vTXfW53+fSpdrqMW5T3ddkmq9aF
1FwkBfFAKaj5r3vZP3dwfR8Cy7m5bHMbLXfELqtzlKzCyvMJPua8/s3cbWZ/F53NNQh8U58PVZ07
C7s0ROLBWMmKges7cAJs86t0IhElyW+eZd+MPe5pR8GBR6w0XCWarDC9i/kFDa+q8TfqbX8X1CVw
RxLspM1dlY93qcRpy50xSldFcU6bXvSSCNK4vzF1+7YQLLafvexAn+o2hiQE9CLTm8yah7YVaGdK
08ZP65WVzjL6G4yePBZB8B0XyEGQs4PvsnB2qALxQlbmTGWrup1V+iskrKrx8oULbaeLTa7vkdou
2ggmNK6yVTcWAmolJkNCfzNtT9byfRf3Bz+B8ECcbbuLpO9zKwNPa2WyG2tcuJ38TQdPljJ0AMVO
FPYJBN6g8Gm7A1CdrMPFmK+A5+UN9eNkIRMgpt7d/Vz9X8Z6c//681HZR5c0Po3L3l/d/iMuC2d+
4D53SAnbBL44DZbuP3FZuIMSVDSwtoesNSY/47K2A8FcIKhwdgzZUMVIH+WtNxcRc+wiCgoeasWg
lO0lsVlYBf8oPAppczijBi403FMNx5XYpgL28UpPOIMcSeElZ00ejJRBEmrmVJ8eTczqobXH8V+y
uSXmSS/wBVNw9SIwVDj8tKMjKsheZHSkyVmtEplNFEeQQfX0wP0Q0sRBYoNfpAaCT1jEC78p48TP
xvC4zUhyicr4IpN8RmgsTzqEmgnCFvUxbzKRYYl8FMWLjuSLpo1PZevNywafoLG7MAM5rUZ13EP0
TOpoiZJ0EHkbQeYTVd6UDVkswoYOQhLvFvdxJ9w0hzfrFIIlWfNd0l4LU7iQ9NFh43kiBPmeWZ4Y
ehy6y84a81nY9RB2syAfl3gECouaUVXgnhXI18T5GMIthTOWUfsryS0jLChtmEmUxm4QN1WZgXNf
pZ+UwsNk4Cka5pFXhskC2wWEUVqbn7mDGfoZa9JE9C6PoTrFLm3+cSQVZBkrks20Nbp0hlXXj5Vf
wlWnUObS0LweoCawp9Y5r4h1Cu2XE6gSEqnVN8fKKmZcOXLiNqEWXkyyiWZczu3MSZdNX7l8Bf0Z
+ysdImaOyaBaNYkG+1IxTftVjEGJVNHgHXvaZcs2aqIvCK7D/9QyiObzbBivoDyscRZcpVT7hNBu
nPO4DSGR2Rnvg1LcFm7hgJ/bIGdCyv5/2DvTHbtxbEu/Sr+ACqRm/WmgNZz5nJgn/xEcDluiJFKi
SImSnv4uOduV4XBVGgnc+6PQnUAmMuGMOIMoau+1v7UIZWaoTSKLYt6PtjdeomEIMo3v/CTyRX1W
ZXGc5rHA1w4VOpJsb9kcvA8lLC6a0dwu43CoMF3PopZGt8WMpl5XJUvDOSo3bcdJMtVuivlaGkj2
FHJvPOHSjakv2ZL1WtipskEbTc3EDv4ylFmgZ+jiuqGJiHL3osrRHjGqVlvfGXfGFUFaTra6KTAT
gLjPz0w057FXYsN7duO23j4sB+B7frMDEFqnhUOuVWTuNA3Gh2Kcwm8t9DhV1alvJv9by4bU4yqt
c0nviTVsCl9vLLuts8jimxqsUzVBTVR+96aU/ioYMvqq+VFWVto74yGa+AYbCCDKZQt66jyHY+pE
eof68LSAFyz68ZV4w1lya9OAk3J6GffD/EUMC6TeLzkZaGr8xtliko434Y0vns9em8V3M1/V6qBH
A9HbLCdAHXunsM8+gBQz1C8dLp/SDgjLMMjAokJsDXcDWV6mXGUFzwFhEhk7OaRRqgTZV5jwpHQu
Uy8IrvEZbz3QWunEliJlfa4SdyTsXLp+nZS5faNxMOfZSH0s7AmLWdNtIycS1znm/SGfjxFuItIG
KDT7dArDU9g5J3dqn6xFJ7UX3A12cSNkdwrw36Mdnfgw3pQROzR2l9l5xbKimGJ7BmNalWjMhr5t
k6Inl9qqP0FR/tTV/MBUfWyb8FAN9GYxNG1skbZNc/bcKpGNnI9LEOw6i5WQsOcvsg52Q+SlqO8B
IgAPnRdzCFtos3IBAqjD9o3PeRBbpYA+VmDO6k1OvZVRt80VtW6X2ZK/Kcup83Ox9H1/twke/h4Y
SPzpxy6qnClXs9+wSytre+XZQICMQI44H5uT5hgrBWO+KdqSI0p++Uo7qW6krMl9uIQgIqfpduir
E5nytI6CJzLprSz9b6KuMKDoMOEtqpzE/kw27bJqzDlL2txTiYEWCrputNMg1LuxbV/7YBkSVqlH
OyhlNlLtJBTzlrgRiZGJmva0qwOwdgJaZb+13fG6sdstuLy3ueF3Q1Adhrw+Lqo5QIY+BV17CpUN
ksXMbapmtrMndL5qRMObW+2mBBJV4NtJFVG37jzQpCv9Aykj3NdOQU65hvJe9dNDxUaQvf4gsRbs
K5dB95S+PycTq89jt1xKVe1r4209SIYpAxSVizqKIYlB+giLjaWh4RXdqYGKHwfCvmKNOTYDRxls
9zHe5YLnmtoABr2qq+YWCFsRj2JsUl9YLHE6Euc9YGJHjSlfIuihffXgAhuDbMc+Axg/shGLacIC
DftlU9fyrZZkSzsMlFz6UvE55Y6f+JG7M9iHHNW+tVFwIpKMcRFZbzn1l7gDme0PmJLVDad7q1v3
Mn1igf9sk2ZDyDzGoVW/zNymSaXmOnPL4spZPJqK0max21Xhzsa44rF1HHNkTPbnpjV8/9dFws/1
8PeF6kNdQqUaRkjt/ti0Vktvpn7k7JIPLHWqA1jW3xTEHxoVhGsE4PidEIIFopPCj0Nox1+EF0ZF
cWl8jJr8KzawHetue4OpRw8WG4xeVGV//angM/ip9MEH+fCq6+d+10oMXa0717GsM5nF3ZpYHs/4
FzwVnwsXtQf0gCrRoffk585+HESdjBMAnEaYNiE2axPRL8+tFZyYBlWoeLlpIkNfw9INUnTCD37I
TVrU8zFo3Bc/r6cDbRx/wGoSbTYsgcjCzgKF2I1hEoh53g9T4Ly2otIbd+FOxhj70mCtZpIAIMYO
PKcrepuMQ3Q3uM2yxX74MBSjveeFc13O+q0Koh0eSveq7ze+Mmj3PTBbpLSyiqBCaYwQ23kZSCK5
76a9wZwtYNOtXYpUMDYmGKz6sRfNRyz6b1JhhKk6tu9dC+SLez8t1ZNL6oOn2x7TcBRrLAcoX2km
sIi9fb1URxuEjJhzO3UaKPxOXmOXJU8j5qeAkfg5BKcoepON+YIVTLJaFzwpnS5tKwAE3VKB82ry
cyfDpPCCHW39JQmL6a70KxRwnXU/6LqLHUeD4gz01upW2X9oP/uFPPeE38iOJ72GCq/oAfMSqDie
Ay4nxI5I6YOYy92UT1M69sOl8/GMrDpv3/fuV4w3BnA84PA8d1t07ikwzW9a4/VA1neF9q+rbS3E
360246LEsBestuokrouLtZFH+Wi2y97b+acQj57ki21i70DPQOyOf73WV8z2X7x44ED4tpHmGq1v
7t2L064MRR261rlLvVic7KTbQHWgR+sp2JCMPFxZyelpzCoVj5/xj+Yyn0h8YJv84mDQ8Zt38/OD
749vwgH1Ap3fRxv1caAwE8MhlVflpYRhwWliRp768Tcazs971q+v8UEmWHo+WGXZlHi4fi36XTT/
Riv8l58BWmEQhC7spR/VKD75C9AJzD1b61piBt57qDn/2KH+H2vf37fgHrS7dyv3F9b8fSbwn0az
P37qB2xOkdqznh1BsJI9VE34he9gKhhFCYRpuP6RwoeL/gM2B4ZOgTjhqF0sfoiIuEF+wObruQP4
hRifhMj6Wumsv9G003Vhve/avciHSIlkdAgKDmY+68J5d6fpxWk7OQzTRRgnykYQA/AhORVGk3Vg
xhvf8uZDNY2izgip9Ytu3fGhdtUkAe6J37X3q7jx8d3ABWdjuuyuhwyvXtn378bFhL2OymG82FLQ
CxBxsLpD0PplMsHaEcWjcYeXANwV+BceapnICjt7jN4ucIF0BOIt0ppc4XeUQ2o3DX1YgHXR7ex7
+Vc6W3T6TVls/3zjwm4XYawQIFd+dQCQ8PtD+93357KgxLWd9cWZvKJI/WlpHkb4+J2NDubWi0d0
+DAqBXkYL4G/gsk1Onc+9jNN+7HVb+WkFE2Y1XlogRgYFc1L1FzokMFRFm1VXtdDdOAqKlUaIFb5
UZXyWDfGmzKmLP/M+nLk23er+PpXmeXXy4DhKYGMg1OcMTD7/qHffahgtgpjdY26CDhWHtsCWF/s
1jaWRieG6RrlVXTX5bR5/uuX/XmTWgs32BbDAEMarEX844O2A7SkcDtViIsIF3qhdTlcBOQcFubl
41+/0s/Plz9eCdI/PJc4Xw/S14d11gl3XgDWtZcQrednadq+2eY6nO247sqMyGEF6skctiAFPMN/
t2h+ruS+V6hrK4WYXEw/sTt8eHlMC1hZCFSogay9zyiIvc91s74Hb+Eq89FAxjPBpd8asLdofus2
+KqbSO1NNLunyXd6kjimaoEOBYI/OH1nO2kZzvPXDhallECTCBIvat1+56FY/V35+8tYaL1K67aB
HBKc9A2/+8+3KUH5JDwvt850yPln1mvg2tSCVgULAmrS4mBKVr8WYdSdoCaVG791J4Yxyxh802DN
22QuC4BwbTV+Zb0TvIFiA7j115cYY/gPm0kACBWLaA1bAI7nBR/mIn4fMtKX2jlXruzyKEx1VC4g
Nycn2uhxGJJ+kuRm5LM3xGVZBklPxVbZfQfPRGcndSP5bdd4fIqDxhRPpuLtflagOjtPdg9QNMI0
lyJPhraqWMy0U5k4B1V5MZ2lrqS1OFAGKKZX1pILnthjyXeer5tbuyqui1k46HKHQF50Lu81VD0n
hW0NXySDfJn27rAsAIfC6gT8MHyBuOIeSh/g9FJMY5QYUrpA4psZGlbYzzw2c7ik1HhWulTTl05J
fTcQC8SP4TrY5EoOeyBT9r0sqam3eWBRFi9lnb/i5LJ+jJmQ1qeBBxzNuLL3cCd0eyqj5g1tIywO
ncPrOxblE9RE6RYHAJ1DMuN72FJQwlfSwDHqml5uKAWqnjU4RhpMvSlCCcmkzDOunD4duuiqzK2C
pJS2eodHjW0SQeA2CXXQPE+clKB0ou7Oc7S3HaLKsjfK58vn0G/7TJGpWjYjcLiNNU3ks60a800V
XeetiA6AeFHYY7FBzwMq1BiTzcU4hJu+zcu00Q7fCfyvaNDdvsUXzUfgZaqqrCTIQWcFrTdBZtBN
njjaEnzb+3VWuMNMboxD3ZQpOIrBmbpSbxxtIrWdnGA6+UBRm/xmgLrEeQxkaBb9Wwmo315elLGm
gK/iNLby9os980rDmTToYejIRdeao8WKmFy2YzTofA/FjwH9s5v2jgSWs69mxxmSAdcASJYksA8u
JQ9DUK85noe6qY3M/NoU0IcbTfOrEn1X0O7qOQDMP09NpE8+RDWsKJO3VJlkwLNw41tllV+NuHX8
IpFhBzmQOrXiG9GwPoobiYdXnk0j8xMrR1ARjDU5ES5OJYcfI4ENyuQb0wQNz1SOqmADoxpH07N4
2DGFXbugicreajCPngt1rQDK8KwtWPjNGsaAkZS0tt4yNxzCi2flRX4QDizhXpWIScll3imC3a3M
OtjJeJarcUErDT2UARv0+bwjSvEu8WxAhEkweTN0a1S1VoLLaj9ZHV9oikM2a57ib2JdwXMBsXzQ
QjxVnEd87/SRbrK61P7tMmjH2VRWi/FvaUo4VuKgtEu9zfuxE+AKmXOoisWGK6zDO8haOGSWLKTT
EiVgfDtz5uGMpW3hVunTnNLh0Due16RF7hRwDokRl5MFAHBjsVTO8rWpcZpcGuIN8NSZeSn30J3d
XcECgF2wuEknZS3L0wXylAedtO+i6yo3lZs4TFagvLtqsY4kB/BHu7yATltGQZdBB13aPfxNBuRZ
5GL4sP5/MY1YhAGILByZTIZZS6wnZn3qxQxjf8xwH9kXunx3Hoejazn3c2Ps4eJ3EWQwEUl99gaB
R1Khgho/EHEH31bOSipeFtqI8gB2s5k2ygBmO4KE1vduZXufvQnGEJB5WLybQUAhyJS/MLz5gVY8
bRxZqyQ0eQaLmHxpjEFlURXVeKc837x2fensxsAU4IRrmB1iEeb4PV7TVtMGuDa9LFPnuDcK4OQ9
1bAWx8a3VJhoOgfg8aEtsV0/2bbZC0jQ0NCsIHoURK6Ls6oguweNKtX1NLs6TIg0uDalgWs3bTHi
oUc8waJHDNGwujl2yT6FEWJq91pFuQ2yZ6jrWzsUkbuf3MoMZ3Tua/EJDPnaqy1/yqBl4aXhgkTM
wGRzvWxJHawffn3rBvsT3lfH6cX1BD7FID18VWXd1ksS1cDhAL8UNbsRfYBbvh9QFRT4M+ypthbl
laTu3IPG70qCy236aThzq+xgfyODnDYTTsRxsnmU9rpp4GZK8ImwgUwRXetkLfhjbjvRIRwZhIOw
hPUsmebC/2yEg7cx9dV86+iJqGOBMrc6th2k2bsQT4stJHd6kVEhX1xi+zIu3ZLZB3gLIoQPlG0x
gtEMpEGBOztbaISmTjA9mr/UTe1dT4Mi7U5CG6yfjM8LBW+iBQZ3idY9hMmmTNEHhNCP7LlUm87n
0ZO1uli56QqJWQS2ubk35S1rtTpGvK7A+tq9XWDbwzg0Hks7euwraywyiOq4TRYLs7K9K1oqv4Ir
FfMhpFhSmVl37KzyLHyj07iMGR4yRh5pD29SAkRYj3jSOiNB6S2rT300RvfWjDL9sES6p29aiVnB
dAVZZM+MjV81cVouiWsKv9h3uCwmserI3yztOOrzNAdgfEdMzDEX3bl8grNzMT4uTk2oWrZdU7ft
WfiTe7I0cduslIKPx2I2QFRDD/LcPSoR9UYigW0EWyfMlXW5imSRGUOoVvks75pCUvZM28UJkWuB
Cmx+6LRjRfhlKu+zMrDq4mDlnXktC2KNSRMov96ziNCbSVn5su0HqRh40gGLlNm6cq6nulm8CxD7
BihqNxL/7NISFOyM6kZlpuxw1UwoWAHgNuAsDpVqMtgVpz7FjDXst0sosfprdyqCdIYxViV5p3z5
ZLyZ3ldlj7WGJ130iLWOCAERCYoN1u6iahPy0jeYe77Y4WDC1fs5Bg+eLaRJjVdo9+zm8NXdylxF
PR7uWNFZxxxcTTQO83Rijq7bU9B3pXNtT6TxV8o9wueaJqs4173VmZSrHHsGqrFBnxtQ8mgjo7rY
AAKvy9RMhOxn6eK+nxHUAr06L4Pz96r0v1sjObMvfavab/qjK/+9Kf9//6dZ99cjBt4V8b/IKf+n
QRDB2+f3CgyFq+2PH/uhpyACEyjaijNAewf/hibyn3qKjUOyIY0QB4ZBIMD4ox/5OzjNEel5QBNc
l7qQYvBHP/SU4B84v8JBQ4OhAXKzbfvv6Sm/9M5rDoAPi1yAkgPH/n7o7cKpkNGAqe1VxXR3CJvI
PfdiOoaikYk39I8+56kEGbATbdAsX8tWSesGDCxqvIUlKC+am6jsRKzr+UYX7qGFDX4jGziz6IL5
SlBTa8sajJpgnN8U9QhiQUJfLjrEc2B7KMokGiXmx0HXDHdz0b2A8W8xpAhQL6ACQDSHrdzDOFnL
wevEVObJHM7sMDR1Otu5tdNW/62IxAJJguTbmbZojmgdwSlcjI8djm462ghUOYeOQO3P7rrBKbsM
Y1Sy6WjIoFVb8MiOEcabDtwaTbOSYj5mVT2NjnXQ60wWNPG0rTfe1F1CrxzBJ7TRZmyWKbZyjZKi
FGbXG3WhCqi4FvKlN8Vppmb1WKS2ss/ELY5m0YAYqm6ArD9LWEXCxAxqyASuMOKDLA1/ui6+5ab1
P81LhdGk9GQZoydCuVoquov64basnbuwImLYd35p6RsGQ/wOXU0iMJvcSW9W4s7XBIJpOeTBGDsB
khUcasYq9nLvG4y7Zg/8bthi3FKnCxfXc6UuvtsdBLRcSexjqK1Nq8zBAnfaLthqpICXHLEzrHsz
wr5lOnr5H9li/tM2D48Q3Gr/nqLKmv+Vtj3iuz5uH3/84I/tA1FtuNUx70SE/prvgdvzn9sHxYGg
NhQ90FIUEgf0hB/bB07xBjyOLcdGhYPeCH/0Y/tAID/OOwLmCfwJWwj5WwwVoLoPooWHSGeoeB5Z
Tw3HZrWKGu+kN1nkgG3oiPgut300a37PiCAfC4fUwril+mtoCUj54X777LmdTiKvgfcisAKQDMje
UNYoDkuBzA5Ip31CEB9UI6gp7atwBtRj083iwsLC17whDz18ot2hzWQeYZi25hJVCChCt+THzhSW
B78LHiKEGBVlKTb+gmCqAAFHGJAUO6g2e1hgn3LjrwEW3V3flgiOsli0owSeAXe8nxxyRIbDpYXN
Dcw9MpVIX9ENmBrICQhcagzbzmsCU4sopmpuXnJtH7TfKXRjwx0Zi2ZTSHS6MPCBC0Ckk9/X2J7W
lKcend8maqevfut/hURepYh2GFKFcKhocp6F3YpDNzQt7tfwM3SXm3JNlMLb/BIJfgWYKA6dMYBf
xW/bx6maETVG6Lamebv1Ov8zukZwDHC056UVLx7/6jc0m2p4bdqm27pW+Rb05tb4dbEjEYppPnpo
vcyypBWz/Gywpit4sJyYFfYjy8Pz6IBggTWhRTRF2MaigyWxEuBZR7N3fP0JvQaKLUer7RCqq2Vx
zTEk82PYIEjielLY/Do9LcghCF34okqr+wa0yEPI0FhlqhrQnE9rtbI005YzjBglq6J9J2eY0Wr7
AZ58pD1BQdjZYRkD4nVeFgI/Go+jaLgf/Ka4aC26w0J4j8rRqned12amIre0hYDtiBBRbwy1b03Y
IzNeh44HllQHwELqFBCYoA9NqddCGLOs9hoYRx77qtgChLqHyoTMuQoZacO0Q0l2cAeBr3jmaV5N
T53H3gKHn3ILNh1BJRj5XvM4sIbPLliTpHKdF8tuPlmd48W0CLZz5LbImat2NinuZNCqFJQcACdH
IKUt3MwgpKYqQE5bffLzAOok5gRQRe8wwv5GmjbMIAj5MNrNSGqo0UCPVvWF+tYzeMPNXE63TalP
82jde1b5STfN17IHoSEH6yin/kKc/GES1XE2HFcrtx8L7oik7PN7qGJHXeEb6uzC3ThdgByGMLrA
CfWSB+bBJ3SJm6KpENuFJwlUkFe4yW9NX12Krt/YOZ6OYTBeGereOjM+C8/ZTa/oHmVQAv7gUCBb
bvDNsbM8+NL0Y+gWSSE8pNB4VyVbdk7PYblCGFit5mfYhcNtVVg8rhmiFbDNdXEhLaT4rFEZOZSd
ZGT9c6/4wYnGc+3Y+5Isj4NArMuI1glTdbPvevg9sGARcGM1t0iBeYUAiMiIuunjxQdBiVYhQ65D
CP9zqzIofHyDWnu3uMA8qo5X6L+7ZFJIH7MRc7PuuNilaJvVoHHagYyxjaJlM8BXWZAZVBeRO4Kv
AHvSjTP752qIvng+xdoK/Afbd8+OK6vEGZBaMsI5lLbrFteXSzoW5M6OxKYJSrgEOsVjhcihiHrN
jo/ggho9wBarAbZgvQ1LcUeJ+xpwEFNAzM6onvJtUVjWplLNLQ0gz8kCHuDZDl5tyDIZFQ3M136X
zQ4EFM7gbcNOuqmRjNHrBdYOuVQJ6+m9YKOIBxqwL11pXXy0gBme+reGsSdTjld9VO64F35bJsQN
aoFoubIjiACS8H0z5QEERU/InziylYrzYhczLMtjmwGWP3phfx+tcWL9GiwG8fxTu7Ao69zRQY24
POcjlMEAeWS+tmSyDD0cO82lRGKZg+SyCQlmdI0yc0R/aBY7g1W1yQbt3SC57DxEUMf8NQitQiJa
iGQ0YvWIDljD0jwDHAud4b2DHDWWkwNEmMdqDVir/XCNW1meozV7Tc6P3DM3namusR7wJUzDA0da
2+KVBNGFCC8aidgOa6TbFOk7gYw36qsDxNyjS6YHAV97jiw4H8RgF7kiDvEv0xoXFzQ+wLc1Qi7y
UUSyCrFygiB6DntsihiCnUDyXL9G0AVoJIvKhzC/xtN5a1Ad0uoQWQer9rIgxM6qIbx8j7VbA+6Q
eWDvEUvDYBNG/F27BuHVBBgWyjq64lIb5GpVfyBD/92N339eVUYxEf33VdlxzR39tSJbf+hdReYG
rhe5FLDH9/C0Pysy8g9w3lB83cCHLeRdP+fjvG78Fawz8u9xI38WZB4OS8E4O7Cph6OSaPC3+rn1
6JwPE+n1KEtYn5C77oO5/zBEormj4YkLvAvc8E7/YEdlw0UiZk7TsrQG1F2ICWKIB6qd5671J7kl
prkhloPwMAdCb88QFZLogOR+PIe+knve9ks6ByOeaYOnsI8qlR8QzWUQvdi0S33T8voJQQ+32P8+
TcbWCTiZy+wLmboCJuIlmEAry/K1DUo/tgmgY8iUSP0gVjJp5HCJqk64Xc+pcdRdSfPn1f5bHpE8
usxpU/JiesS0USWcDZg9eH3dtSlCMiY/aYdZi7NrzcgOwlOWuSzH46kxGdGCQTYZu1e7Wj4ViLVK
tM/zhHZioyZmkpZXO2DEOzB9GlqieCVOX20bPE/SxeUPrLC+2OdOzOcWHmkIcfh6mqWGDzi/pzK8
4S3JonncVssN1f6DgZvND4vMFUit+J9RYP7zbsTVcPHvb8QEcWLfs7Fx+Nyv9+P6sz/uRwgscOUC
b4woBSj0U4dk/wMtCRwof0Yg/uiQQpxNhTDFCNwhrB9I+vnzhsTpRWiPcIaN/0f4cfR3BBbMyT/e
kYhmxILG7/SRxuiv1Mz7DiniAfBW0HJXzchQeCS9bPFwmqh7EAgirJLK5w9zVSC7a7JOocBkvPKA
1JrKT0thkZjq6n4q9LEOp7uRTKc5R40KphcsrgFqjGEFpnL60fD5EnBn7zF0Q03exhK1eTdN6IoG
P5m43LOlMXDGK8zXkGKTB9G07R3nmxMWOjHf+3xWo+tijp2hc5HxErqboarCxG0wrYxU+TL7eK6r
xp0zJITxlPTdvesPQ+wOlp2A/wDWu5BkNjp2Czkmvcifmoim2gZWjBzZ1GPm1R+Qf5NLnsLJ+QXh
pCjvfPbsYwIQg1vZo5HDOAABdphzPfuFuw2DbklyRAqUYW/FjuI720d8xtiGOzVBm5rdscd4aHqd
2/yV6+mKtKWMPbA/DM1Owl3EE9QTfAmF2NDJ9KBYEDkWFt1bQVwEslGBfdCrYmdNa8sH/dXPbYRZ
1PNn1nn5EUluGLR7No+RoZBZIqS3tgr61MWYNmGroN+qKdoaUx+pJ8eXMBpRkQyI2Qb6PCaLG7DM
zYN208wOQXTJhJFciUqjiJY2HmyQ/jMJp7QGYbMJkVWc5o01Y7MKorhXdZlZDKPkmbAcQSWKHRlp
m20YGQ2OdlwekVON4pJg/FKrBgYInwebxdT1S9sjURYxc/7zqDi/VT2V16Vvs31I++kkI+xz49y0
B4xHeiQAum51yg1ChzAdnE5DvzQo3ThiJaaQWSHkbEvuhU1u6jaiWQnXwAOZ8cVvczBRn6wqKr65
YTNkfNWyjJ6HrIa8Bawa1NWqeI2r9qV6zN0ghsFhgm/dZBJ9ooJYhhFplFhyuPSrjpavilpARrTg
q8oWrHqbC+HNXRU4CUNL9V2TgziHsTIytFa9TqzKnb9qeItb07Rddb1gVfja72Kfze6CP9Q/6IDt
qggiGHJ8RKZWuPfbBnrhqhxaITREBTFxWlVFzC7hrYDO+P+1LijeHqFAhv79Zr4bOJIt3/SvG/n6
c//cyJ1/QI4iiLGF4AXDHDbSf0pdOGoIabYeXglb/Zo5/0Pqcld5HZjietwBdvHvIvr/lbqQgEsI
BfCz/lYc4A6U8W+Qhx+FLuB9AOhX2y30cjxlPjBEekA6IagLcz2QQ4Fde75t1fbdl/IvMDb4eH96
VuBTQM4LIPxD3YYDEp/352cFRTdTVbXqrh0TVUTF7vd8rNKxBQh0gjDxVKJmq2+WlvmI1wAE9NwX
gV3fhMSbkxJWdBu3dAdTSYugKcyY8ibzHdRg8HbHw+Ik89xc52BumtYCGxQhdrG90wSJKXOJmA4Z
3E5M7aBPY7vjGGEzTVPPlQfMoq6ssH5t5vqzhWDUoev2CIh8hqJDk4WVV4VWWWgjC6HEBJFO/bd+
CDAzZAZmPTfYMolpscVpE2OGuZNjVyfwtTwgnVw6KsHHey58ssfsEPsw7Q5yEl8bEIRo/xHOMvOv
eYdk/pB3SIgjEzBy1W8wLoCXJTBpKNYW0NjIcA/I66TEwXEtnlJX3I+0OIAheugnRK3ZTD/VfFbI
OTNflO8eZrcXG1l1Z1FOJo1k4OABlXtJ3vZ3OHMHyoeLPHr4/868gDiplXPTmKhIYLp7tioHGy2G
qp4dIELN1t8Qs42ESGa3cSDba9G6x8D0LvpeyeKmloijAi4YY9xZJFM1IIugs6EjjAi4crvliYLV
cnA543awbj1jQVSxm3vDoy6OwvrFkr0b26bbYzheXRptaALh66AszFoJRVIfDYtTob84VbuJ8Lhn
3NiJO0mFslU85QuSS3IZYsZR0EMfDn2qx2C7BN6XjkHuMHN/HAL3S4gpbhpW7FvIgzEpXABaUkf3
UDW/uaiZiWRfmfRMQlW1K20Y7Cge1m3Br0dbvdKqAtnjajyja7FvGJgWd9QbFq6SqINHoau0yVyL
RIknhmu08g9wUP4Xe+e1HLmRdtsnggIm4W7LV9F7c4Mg2SRMwiZMAnj6s9Dzt9StGc2EzrUiFIpQ
U2Sxq4BE5v72XhtCaw6nwUkUiLrkLh67ZlP5cb8uIwQbQcyKQPp2rvj8wiC7s51hjQiCWyEcnqQ5
g9qavK8sC19di0RVom0HGr2MGMwk8qIscrWOs7Res648xAygS+HWcPmdqzj3iTJWmE+scXwdMqB8
tW76baB5P3x/fpFedA8YLUMsLj8FbOjdoMwHGecPbQrccDSW2VHcXRS+8dUZwQuAX07xMuHwY7WQ
7CPkJeC2XmVvO2eSx5rgZr7VQjXRoebdCOfQau7dWM8r2Kpc5WEuH7Dahkd3BsrhOfq+aeyDMdef
BZJ2Kmsyv1X9DXMEJxYf/nXfBelO6u6sVynJEdFBV40AhHmPC1FwPyVTdl5Q+ZAaxq3qsxDLXZY3
IFwLDGWDDs4Mf6w22NeqdZvDopu5fmOn3o+VcwHYsFj7ytgbMHRr7k22R/VlW/nPSeB+gllqOPsx
xRKzBQurBpA9nTHofFtStsTFToXbv8S9gDI7O7eqtLa0btxWlnPUpP1g3W48I360pffSBi7PaxM6
XXyNhfwam9HF3HY7OG54HKZv/YA3K/GzjWw7ucWJsZYNO+VWkWEL3J2qh0vfr7aqkfnKQdBOUlev
qhDNPQuMVWQYV1OnHosUpGRkt/Czkp3djE9G++n2XImD5+8ckfnFOip1jsIc6bRcZ/1kGFtzmPxH
n9DqvmmUvc7ikT1uUHf1pXSc56ISxh1m0a0/lFja8ox1ayUrURO0dmdn302VWgc5OnfgFI+yaXeq
089a54/MT1+Qrp0bs3fnax54zU7lzVtjW8dEOd/GKLjCWHYZ5mG80IMZfEhcYmlDjMnIcthjcxHe
C7xcF3GR3KVx/J7Zylhr2ednap7goBUkDKMSvpvokpfS5lPUyX2aVtkmdIxTP7TPPR6Mu8Bwil1k
cCAAGkgyJeXZg7GHNaA3cpCSfT1fGV1g3HuZQ0x7CvU2VvQZcJe3TxDg+o3o/OLA3RxsmrzbCG8Y
DoPV6X1kw2p3imra6xL83JDX8Oo6mXKzp+5BcyY4tHLAhNTdtiIhdmjts0EMq8qIKNNwqGTxrHtU
/WdljXexq7xjKPrnKoRrKuI5+h/ApV8n4N8fukEoaC7wAjgArvmnJ7uX9zW5/qa/rgK99ayrLLj3
+K1dDj2ZePrvj/hfdxHLayFgY6HmpMr0nonZrw/4tq3Gztatvg6ibSQfmwm43f/wiv+vl1i+/tNE
Dgt2nus+19c1NyatLqtkeBX13f/H3wOfMiYtxgEkRX59kTbhTJWVWl876r6pzkeDronjf3+Jf/9Y
eKt+egnv15foegxblhj1NdDEotnNRbdlF1L6b9n0P15pmVH+kSn5vw/lp1dafpOf3rE8GdzC6/jL
NNO8skpvndinvrjQw3YoTnMx/0ta/Usy1vKL//nlMPNj4sD4EbrL3Pbnl+viDGZjZ2lA1c9Whxju
3cfJ2VQ8f3///lFwl9Kyvz5r7KCRl/9pqM53/ThpQB+BCsQ7z1jd/xVMQltWSFqAufmPM8OPk4bj
/8YZgrQHYfIFzPZzxsnFrkMiynd99B+Inn+rUAPp95crZAnpoD2FHGt8yw3p6PjTiiQL6gbGLvIv
I3i2cdcM5UWn7clbZ8VQo36WixIa6BZN9Ls8WoWL06T6LpvCf3gZEVLx606bpCVWqxFZOWxv5Bxj
yln018qCPF2F2Tv7opRRCyrtZLBrKbHSUSnSrb3ceMEcekuBxhPUTkvedDRY3FFucIAjS5NWtNBU
W4qfUgPCbhnoVTM0W8DV8ctUd8l1FCWpd53kk3/tlkGbYDukfmjl9cA9N25UmOW9h2l8FzFp0tsW
qkhHAqFN0seeUSqGfKmfJOI1dSGyOqRJlk0MUdUF7uKT7t1bNxYTBPjy0Zzz+17AwK+S+sMOmCZ7
CSjqDm+SIqGObvieLC5LZYhLr7efvHF87NklYLk3zo3B2BgFQ5w4xa8k6tqCnKEpXih9sexHn+zI
CdaFJ1/t2L2Tgb6CxuxuAAZ/A1BzX/Ti0xQAFdqCN8UNuhvfIT9L3qE5aH4+OLBavk4OtlCp04M5
h3rTNKhTRR7cN7ll76pSlsgXbJrHzD4kHdbrYVCbQqecBngOugVHAvy1M01PstzaWYMZ3JxOTm3f
RHZfrKl0Qv8Q9qGSk7W2A2gi4TTax2mwsGT35jezCjdB3xa4491oK/12X5ThW5xUZ17on7VOuOSV
6EJw5vDOj6gEILcFn9X45obzLjfHYx3Vl7EiUkEbyqZWs3coykXNieqvrgJY7aUaJKtRfOgkJPo7
Qb4NXTCy4eAfvMW8weV1Iyw2rWAgLjs3M9g1RtfY/W/cmF6nOLFuo9ow1j0zUdAtyl3Tb9Kuud42
CVuAnt3Nqoq7U8cn2LX9DldUuh9dcJ2e2VTbuRTHYpiuxsZ9struMuzSewjdcp2a7WMRJ7eL+3dT
m/3eij3jyNjNwYOrbic/uqfO4WZu2GpqC+UNx1a8ClNy4JaKrvtoPkx5ZKBIGh+qMZKNKWq5n1zG
jLMV5ri3UB9jt0WhJOqM2Xk+VbV/leFX31UBx6S6L4EdDyDHG6HPXWl9w112SvsA7EybXnhZjXAJ
6AA/lrU3QQCvphjIMzfARljZmzJrvZvC7ipU4nkwEqDGXFmrbCp4QPXOVzGBMWEWctvP9brr/cO8
+MV8f8mFlNAXOjk82FC8Dobg6oRFopFu0898smfGm/6zq9075lvjcajYmeXKPmL0cTZg9s+TgToY
j4qotVkIsdNNdpXGHpt2eVvkw2WccG3DD6RlL5PbtAiv7bhsdl6OI0TX2tk0apxWTendawsZ2FTm
V2SLV+ZLH2hJx0Y7TGrjDkeIYX+K1nhsSdavi6J4LHRnb+0QI+AE9iT1ipdqEjCnq8kF1YDfWpx8
MXo3ThbUPiEX9rhT0rw7mqOt7UJ3WUrsere58GDFbmeJP2aY35VjvzSwFw6hWY6ctPzruR/KTdDB
UhaKOhdP4GLAd/hBD1Z7NP3uLik7TvNwYeE5V0gnvsxYa53X2hN3XYEZX2PB3REn0xts9hlJ95op
W2peDj3lWdJ1Pod5Cjelizcgs4fNEFX+QcqSI4chOMsSk1kVJp4bWls+jIE72WqFczAj7V6mo0u7
WtuMm8Cwk41jN7caKOhpCvxua2EEl2k58jmlNL+xMU/djN15ltScRfVxKqJX4NjjpjBEsbV9mDHk
x/J1rbIPzy/x0UTZvHVLyCfCmQ4eE6tjVYudBHixSXwv3wUB1h3Ww3lfZs2r4pRVchCMdbSvMF3c
JAZRG7dKYUG12lyFXRHuRqOsFptKdOOVdr3zG+tIjuMccT/edUUW7HE60U5IRHgdDdN0Svp+oXlk
uwQ95GTXTrZ26xnVeIzLQ1KW88OsCz4bPRk7N6D6xsCesYqJS6zcbjji/1crYLAzejoW9Dw8ReF8
ZqRzwWQRh0ok5xt82xsyORxyfO98bvHqJP2MnXIA3Nwn96XNbJFzVb6rHSbpfWIoopPdh9cweoHe
QGNC0OEit5iNUEZHlj9PrrvUvobLZG5klQ6wmeczp4vOqTPcyGa+HtDrt07WmBsblxlJGnUZutlH
UBbveRuhZ/shRiMCypvccOmOC6YtCjY6CwfvlWnqR6uXb5U0rnOV3km6C6FgmN42U5a3UqL+zGf/
Ky5Msesc0TKnFfxI+oI2OjdfanJLq6EHIRL21c6xzGGjGwUNG3BMGRTmIRuz+BH0PBWE0YuHHWZl
c+sSi/pSRfcCcHTlJt1lPXApi674iFw73JLIkauwyB/Ziaf0KKa4YAzjBmC7ueEgd2ExH6FCS57l
zHbWgmeqawwsYJb1OQbtwe+j8yCaCkotphPdReGmkQao+PKpmNTlWNpgLSZSaIrAEB/oqWmtMzcv
vhl18KVHDEAeHjhSfoeozT4DY9i1fdXtWxJEbc1XdWU8mplJvPCsgF6B3giNW76FffZO7GBdD4zO
MuUfqcharhqI/K2nTnOr8d5IPp4Cr1WGeW+cuZ5TTqw72xafjlk5K9v179Is5n9mAR8Kul9Ubq2E
WeGo47bbs3N7ZQd2TEeczux0Vk7nwV+vinVfp1deE6yiUD9ZDj+8HivGbdmZxHe4d4ruQ8T0UvpR
ua4Lyjf94nrZxFgOD7ywjPduYjHRCpzLUaYPSjNir1uTY3PdXNdpeI7hOdw4XnPbG0A6/cxFfBXF
np4dnEV2xuFVF6Th62DF0CcGc86tU84Oi4XCVDY0/NWCctgm7DvhlaWMs5xl96COvpOc9JR9JZab
7mIdXE1Wtq/mfRtSIBrQ0lGi9Z3DyrlP8kEu86JiDXlrn2UDpaE+GxlnfncCajZ0/B546bmwgWUD
Jk/4sJo3ei2XgJEmClObgzrj9rmPJ0QaHDiPVu2DeEPebdU2ODhxfrBpJINcvokCp74pPVXQLlmm
nt6mwrWMpwSoEmAzZmfqJJkkUfeQkjEZdlU+GNMN2fnX0nRTYyOiCn7pTMsHKTZ5gq/PbyERlHAN
7ecwxpJVGTvDz+pNKQ29S0W1EYXsN9FQPdP5M2/LABDuMMUWWZ2M3HJ5p4WH49uhEypTT6Tp3VXB
xsuI0m4XuuEx8cUbLvXrMSWJmPjo3EnaFbAJuEOkhG7k6sFaGVjbeJwgoEmTB1vLI43Pb/ns2Jv3
4cR0MDlvlCVWeS02NAtcDl16Ffb++TJkXpVg0q1w2rShOMdkz+6mqt95ttBDl+drWQZolNSTdL35
ORN63M+ZiZljCA5i6K8bb8ZyvwSLOUqs2NfojReV35QuDoA/DWQPWi2a1jsXDclfOVBegBjsFpU+
sO6eh9rZ+xMiUOm27QF5jpCpzQvSz7qWgm6A1hrY3qDM0ga3r212u6ElX2VD5UNyJWuGv7B/yDYd
XUX3WRgMlwZTQEym3VXhZt/qSdG/ZU1rPQH/iM1LeDm7vBwuBfUJmC1JQ22UMuLTYFZPpEmPXZK+
dH73UIdgc7LZ3JLpGT3/bozbNfteWiLs17TGPt8Cx3KK+IhENh+zPn/lF3xIFnOWz15wm3Q149XC
eBVFRbfADHWvarKzkbzbph3I6E7FjCQw2Ytc9VwP5tuYyRutyzdZBxSeth1XQviSU5OQOslTQaT8
X7rBPwd6izHYXx/ooa99qvQt/w/DQ77v9yM9E0IcVyZWSUYujkBY+zE8tDy8HhirUPcAAPyMLXGY
OGKXMpnm8Y0+9ow/XCD2b6T4OIGTwvlXdOfvDA+RCP50pPcdV+A1YX9re8sc8U/CH+Q3UjVGM12M
DsfMnSXNwL+ofQoiv8wZPBezEwqJkesdjgTzofKk1CXzrwxJ0hPyNrK5UQOcmAdlDf60cjz7g9Kc
dl2F0Zuy5J2MZHE9SZlgLfbsneNatEcJs72oPO8rqQMk9AIXg1VSr8j+y9n6baq2nUeYnEecez5z
sxyNMu+Y37FRhQPncWzPslhd1vD1kIfDcw5P8gx3Y7lpaz3tlMt4qmskTu/CrNdFaHEcRLq4FMN0
km56HlRddFakudxJI+S2DrHvMCzzqDeh83s3hj7b2w5dvWFos7akX2+aEYm7CcAjmsJ4yZFja28s
T37S31teYjK9YJHmYVCv43AyLlXmfegS5b6pfGuPj+NrzrJXVnyctWKwiqOO/Oi8Ftn0wEYn4mSS
XMStUx37JPvsSEu/MMfiEIgssRu8nDIS2pKAniweElJF4RkWY2vradM4iXo0z11qzvdpYlMrqnrv
XPn+TZDH2R3DnaNOpnuwKOWqEqXYm0F143vsWMNIlVTHCew8FWPZWfLwFaam2HOSxrmV9DjIJ5W4
L0NNLjMyHXnWRZPV7SlvnJaKKKU8dZXw2Q2ErtOLiSQyZ/vYijgtZvwk4t2h0V3VVAQhOdj0WR3r
brLvDbvP0yP1n/NJDWV4lWJFblbVHPBUDHkToquQByQPKBl+DVYoz220Aot4/B2WGmvc/CNHfrc+
LPOCv1699vlnWf770rV804+lCwNbAJhvafElzvddV/yxdNn2byw/gn/+b1n73ffgkAsycQr8nvFh
QfkR8Ql/cwII+CH/ssyFT/63li5vWZr+0KtRI2E4kxXiZwaBEMuP+0WvJkbs22MfhFd2oYD9utZc
Yxyr4vLGMeAk0uRCTPWVe1vdYDwrvVMxMESbh5C+rfBclaFksyvfJUZ3Goy4irt4NwmBs7l28hGi
3NKwMzrNth/CG0S2ryXoyvSRLvXeZgJpr+M2RWnBqkr9Y1CyO66Ng5Hm766ilcrPqvM40zfSpkfL
6xTYV+/gm/bBRKyjIFWvaR+FIEDtJCWBlzbnt9RmtqOXZsrenA7T0lVZGtZ7RnnlSNX5UQX+c02t
5az0B7u5iyAku70UqHovIe303dKGyXjqE4zz0mXDQQM/HHs5ujMh0O1GEnrgU6wDlXxnw9KzqZfG
TekYiuEcTW6Ar/nbYu7btNX8hN55AUBomc/S4KmWLk8bQTMRNOU6fbxTS9+nhc9jm1EBGlAFSkYK
J4igHZS440tBXSg+PTSL6ooYd7oyisjdFUu3KF3KR40NDFkLCqZlFO7G1MugbWklrRfHG8pdAUUz
PK+pLi1ceWzjBsiAnX2biiFYmUvPKUgSwj3CWjnx9FbavSYcaX11tnGyKEnF73WeLa2p0dKfOnxv
UtV0qgL5z3DnoS2OFK7OFK8WRqmf+TzPOvd1Lkhqpy2zwZw5SHaiPv5OLw2uSoNg3lhW2CTnhg2q
d1umCwyRgHeFf9jqZNhcjuALj3kLcW/tDsk+DQI1rgqSrBcsf8nJl9Wwt9m5HXlfqM8TS5NeEgXh
XUQEMlznkzUSwakQMweX7sRauSLf5JQ07S2WfnJjpYK0Cgr7Kai8gCm8NP+ZzizZZ1aL/7qZu8c4
k3bTvy+Iy7f9viAutl3GikIslZ1Ep//Yy9nOb57t4ANbljX2WP9n58UF5mCJBMclbLgeIQOYn1ZD
/twEPgf8hSUTp+/fcIH5f7JofV8NKS1gfgdMBkuYu6yWPw0LYe2MXtO0xXVp1UJctN/LDac+NQHT
OtNSeziOA3dO7tcfzUApYDUnewSyO4EnhYDf+zRoeDE9mURCSE0N3bMLoLD0wr80O6thyA/evapx
PuEhGeiJm/As1B42xRqspRHBSaV3Yp1F1VULlNTwGDm4of4magMqAz75PuSeRbI5G4nYrZwwu1j0
A2VWWC0SB7Bv5w2sYXyNfcc32sUr1BP1PnCEnQs57U07eDdGa5fozsKUHB98v7ssZ8lpVSbRym30
iw6Mh7yboJNK685xu+eY8fo+DIxgj1Hbu4oJGTN7CTvEWIm1Z4rfMNUANXYHdNxQ3VADflVxwqS0
z74DLbjIc+nNaJunwnQ/kaD2LNxvrUjPBKTqtWI+AAL9DBoO/3d4KEz13DvpsRp7j7N7/Fy13vMy
z9IV+0bnow3DD2W3V2pOn9xq/JAiKDZQ3OYNT+Jrg192pTCiFRz/Vhn8JCAcLLSTTO/Ijl32tXE5
O020zkzcpZNNCbjbBMUxw9lDXIfphzbF9VIUeQa3Il4Rv/PX8WidZYkX7zOj93ZNnF8kTc9ptB0f
vNY4QW4FOe93AFsJY9PAeVVPIlxPsgmOqi7t/YRvIuCcibLXJ+t6yoO99BO1ycxi2HpDhNWsp1/V
yvmqP9kHFevHKPB3edpfe2aP7bkE6GGEzV6JEnWEnXYs5dF2Y7kaOyYbQs8kXk11LAzo9Mo2oj03
WrTW1XDGmB834YyvqVPvmaFusVhfg2o6xpk/rj0724useig6cQiXlVPO3kOXNSuziB/bCsu0aWPM
mfG+ub0nIG5Bnw/6+RkBuSa4Vp/oLXkyesqY8lY/GCEdbHxrvp1zo9k6g7ybDHvaErrDEWdVX0Vr
FOu0qi/EFF5JMcWrjpnWKqgo6h4HvR2DsbrydRFzr6iACruURkYZHhh0EiR21PjWRfh3zbaOUL7a
xZGWPfWShFb64HSYEIMwBbNvEVBBEVkD8+oob6U51tWqPoyWDVSrMs8WZJIojXkDpYdYCNIndsdk
O5XNvPHt4hIfWLmichT50HHUeoznheDxJsdFAnbMO+GcjOlLmpgpjVhRItBunWnMyOH424C0NBHu
L4y1mPl98aVm8yVsw3PSOJc1EdAl8r1yWyPZeiQ9V1PR3CZ9+5aDLsbzRsXAfBI9uj4bdczkMBvR
z8RaBdOX3apXeq7PdNXd5LVx0Q2Z3HFs2czE34hQjmvkYdq8S0h9WS/NVR8mePW77qtmL7DKR21v
8tF/g3b9SuLbXLUVFe12hedr1IGHrDRlKzKAAaYn8cyqC2N7UviHcu+jswK8iPjMNyzIZ7ipR3hM
fb9L5uHURZj3bBXfesn4lqUuj3QhUbMbgCx13FnrVjQHD+wA8z2mV8l417kNPKCs3OZUVKAep/a2
LF3FTVdxSwTeBUp5tq3G6LLKibaKPhrXPv3pUSTo4A3vaDA4OCNVG15J5rCfcgaNDDNjq9nFXZA/
w2xIiRbQiWCyyWQ0zY3tZk++51CsPGhgYaEW69hO3seyoqpZpLtBlycW9NtJVAOQoGLc8AC4IdxI
4G9pdsRzsE/MdOlnd8TK9Sg9C8pTEnkC41p+Tp/CDaGBEvW9WEXAzwG5KWtbxjnfOwx3rgdxfC77
97bKiFzUilLY0k5IgzYGgwLji1Qaz4tEpYQAjBvYWO84BeNVk/vENIrAWOcjeyWGFOWl2YTL1g2P
SUDyCVgkp+5pJBxiY6NKYOZvKtZsmBrmLkvNbscR+L0P06eq5kLSUbmjN5ENJh85fttCrbVDMTLA
pXiHQZr3FOTa0XH0IYwFKLlESG4aN+ddGh5o6bzRPBPXXUZ+PCU1RpepG2MZmLjcAl9S7MufBSRi
zmtj1hspsovJcKoVbDu9jk2tV4b0Htxu2gMA++ZW7nUW15/jEkdvRfbsedRYakVIxevLcwtJ/NJ3
5wue/9hp/PJgWtaxy2taVyd7CSOY1XOTZ/mxnZsHx+bGz0vnyZjEVZd233ST78Ioe+Bhb56lXsso
MAiPbRpf+WlzH87y4Bj0fPoJoYS8hy8yCXIKrsMukQx1NQgctModNrbvfzASMDYYLGHVVfW8m6rg
1oqKZuu6iUCKH8ttXUPxGfI+OppqevMMLoaOlg0I98H9WPpyFUTGCVffm8p88OYGYO6s3ldNxff7
9XUl0Y+r0Iy3hoV9NxvJ6HQpoCsiM1njXZu991gJbx/V+XiYY+crM7XPGmvRdYzUsQ3GEr6lT+qh
gwi5YrjJ5ZdZ3YJxJDs+Wy9eSw+JkJjGaz5YZbBqJ3gYNpk/6bVnZG84SC5kqmH6MVpZY+YG1Y/R
VnQK+jk+794Bj9eb8pDFjNDSAB+D2WHPbmzGHvQBYEkPAypJjZGMUqx2g0UypiqGgSTLtIYgtqyq
3hMlA6RbYwzZRWPcJ0o/qDBknpGG60rn532LwyHu6UGL26rZUIR613l+s43wE/eLsbgwwweB0zjG
tL12FvNxwdwI9Zb7ycGZPMZGvrHxKhvsnLghsS9rfMw1fubR5nm+GJxNnM6NZ+r1jPdZ1wOTGO/L
M417w8Ec7S82aRnKL7/FNGnn9seAkxq4LgVqeKtbPNYoWWpT4rqOSqfchIsRe/TkU1wU7ZqQvr0O
elw9lJ3E0buJh5uNgVhxrKlWVp+daldR38AZ5hIe/jFaTOABbvDYAGpQ6OzeUgSYaxzjfhESrcRD
Lhg8jey5cMHMaHMUzW6bxXIOM5RW1MWG3iyG9GCxpld41AO86kEAcEcu9nXuuy9vMbRzzYxbyAs7
E697DS4CboB1ky82eK6FC8dLu23pZtAhZX3nLaZ5AJoO28uRdVqVF+NirVd47K2g+6CroV1buO+b
xYZf9ObDjA9inPJ7ezHqaxz7lW++D8PMxQ/djZkytn6COec1Pv9yMfybE/J6uIQAOi/7DNkbJwMg
j5qcwFww1VuCA7GajzZJgjTjhE64oF5SBi27PHiA7DOXBEISan9fLamEhngCXpMvb8kr+NX44hTs
+ZY0Q0qsoeeMHhFzSGT5FhF7yLr+ShCDKJY8REwwgqkKT0qnOdAcfDsSnRhd+pMiwhQjoYpahMeQ
kAUT7muA1etpSV9MTrJNiGOkajhX6IA9tnSarIlptRnjjuZ7jCMvZ+95+h7uaAx3kDe5S7cgE0Fv
3bs0p/8jyX0/gy4FF38tyZ19qv+gyC3f8+MAuhSXWR7nRc9nFGouYv3vipz5m8VDFi0fdCBnTsSw
H5FSgtzf40EWZ00C3UtC6IciJ8h4Yys0fdf1aB9y/p4/cEkB/SLIcSa24ayjlMOgJjD06xHUt+rY
BOXXXfqtD+YEPAZAjoQ2K78R4d4fgjdOJZqzpZtw9JozYcDjDnr8KH5qZy+pjW8FsG3VN0ckGDod
sj7T5hZcR+9f14Qu9HWp68vakek9g2aOtBwbfZgLc4vanWSvDpVmN5AKKaY1I9vaxjizo4nm5zxl
IZ6TZVPXxpuGGrGF4msUpMYtkLntC8i8jLnvCNqBmbXTe23a7uxyTK1TUei5uotnVHHyQlFGcKKK
1T6ktAYeOcPxcei8jap0tgcc2Gx1E1n7QXrWVo9AaU3pqUfikL11kOHkzVun7SfqC+1wHrd5zxaB
cUtkICex3GPyqWfvop/apNrUduXdpZ6n4Mb4NVN0Hut7Kh1kdyedHMYMfKz8arS9xN43Pv8NKbZ6
nrUAlVzD32AZHJPKP+Loc8ztP7fo91vU+a8y0W06fOKB+/b570LR8o2/36cM/VBgbLGMT7Du/3Gb
LncwMHhqB0JeDnPuH7ep+A1SPNg97vCQ6d9ScPDjNmUcaLNDR+z+fpOCzfobUtH3Bt2fb1OmkB6Z
AnKHHpoVscZfb9PEXlLfvWNfsAlvav/cYPu75JiE2RbmJhSZZKRvO3KTeBHbs1TDBrKmiXPf1KXu
VZCb+VVfMdMBVm0cXRisF700wCTYbXlWRGFxB3xHX/WjqM8R3aoPoLb6ZBda3hFYUmfwyiHqdqP/
GdlweysRRDsappZWGoTp18SE67UyBiweStcrEeZ7aVt6M+ely8PYs74MJ51JO3tpj2EAhxd0L7wT
Qcho3yPiZGf2yjUzjuqJL6+Loo/u7SxMbnsYPMmdmREIb/e5bzXzca6TCHce3kLMKBY3M9k30bO5
sFcDA1t2WpMOqumNtW64UcoKcJZVyhabaPYG89KDjLItXKjCD0Y2u0z7Bun7iBweoopWwIlX7kBf
rWSueRQDSYHZtingmruVquGpdjU9QKXLfm5QoXs24Pl6owjNs1eYMEjQhSZAeKMZiKlPaek4YAQp
v5oSJEcgeOJ2ttjLHeyBYqjKzz66LE9ONbVFnDiypjsGTZAOt7TrQAtTLoabdcKFqS+KEJyrsf9n
RfjXQ5vb968f2udv8j8sBgvp/8diwKzMIVHLII32Eh+e5h+rAaoxD3EAKw5weMblfOnHQzvE1E91
lU+f97JMLJryj9Ug+M0jh7u0PNApgZvpb8WHqTz581N7YcKE/DmaDnfWQpz4WThmPsbjoSndKznk
8ZkRF010N44SgCN6idxrISjI8kFlNWTi4BDlR6FwEbu94R5kxN6+mGxCKdpkkp7lgbkbFyFGwCJf
OXjUApc9sM5StZJxeTLCzL3wZ266MTd3YIw5K+HFDufg080GxJqJQAA6yczwh5LJctRnWZnvjGBI
AOtm/W03tIyOR+81Hylna7Mk3Go8YTls5JmQoLbj28YqaST1iPO3NonGslCHjh4MVKxP8gE3qRNc
zaibZK7usJjvjap9NuKgPiuj6qxJwqNKRHq0Qv2cd/E6MJK7wnYfQK+PKwwUCQUeTn1ntfELLsij
E9SUbEUvWFnf+sSxsDM1QA+6AdpzQgthCoiBwQA6lsJO5lfhWQPQYSWVzbAsv2ywb+GXi6mCFG90
LFx1ENY63mjOGtV6rtAbpqg+Fb701wWof5f2BZMwUGjZzM7mElwe/i+/dsC1+9NpjoznQCU31HZF
66TLOHCWeKn8doYKAxYnWGzGFKWuM10dUH5fJFslWWHpdB3K7OIJvndcJx8t1If1VFvuprSmPTTC
U45HYl+AOi9rYW90B206VeqxjhKxddRXT9/gwZNeuGX4j6HChc/us1CPCFnk1q+avIfbkTJ+Hfzm
PlABGYcwP0AQ5PDWHmBTQFMYaAnpago34hJp2Iyn16mcT0Esvvlu62yzIQshB84vQtUnchavoznf
NMQAMQW86BrrreqSL78Q2Ny1hOzVZpeFPx0kHAyMqlbLdlLjAOWsjkTBybGOd5ndf0wc4Vcozjt/
kB+wvvl6phaeHJLL+/D/2DuT5saNNYv+lY7ew5FIzIvekOAkkqIoqTRtECqVCvM849f3yXLbruf3
3BHee+uyJhLM/IZ7z2XhcpqYkqgGkTVchzk+82Ewmzv+fjwHPzZ2gRWzvRtYQ5OX6Dq4D0i64p2S
DpbXOuCLU/WKQ4lPoax2flp08dYjSGomwVYL12CFov08iMvCh+E6u4lDyJsLDMxsLYab8sYwEmON
RHNl1HzNElfaJQlDJj2TKDcGTxtrg5oxWKrPbBWNeDrg/7XYDpTxjetOC8W3NW6QynZMxJjLiWHY
juhpXRFekEBjX5T62ehhqkLlvbJYD/02S25rm6hDqT+PrjU/NHCxXws9QaxZAwozUGLoQQOzFnDG
qrGNFFUiUYom/MKpqAwM83xmCV/iuZGeBsdfYGIbySRCur+ZQlKIHG0+pxLduIdzuUcCs+ozLL0y
br82vcbGpuIaNppDYffGyrTcG40g4xs9zFy/JOhViUabN0lzwdAYiyTwDHtlKnBSETkoivOm2pK+
gxmlW8RHrcsXsguCrUe88mZsRnfH3ItTKc2sXZmzbGq1RFC418w4pHp/AztfLWZwZGuwg7B/G/OJ
Wo8LybYsiqKRv1po1lYPyyOU/l2cB92m9FAaEpx4VrvA9YTQkjOj5x1aULq36RYT1LzNi/waWTFJ
fMpegCXj6IZMQcZK7GIrfaUW2PVa+7Ck7KSyrAF5MDYb8N7ntm9YBvU5gBenYZJW7QmR/B4aBHNY
XB4+9Q0fWBzH8uxO+WPeJtmJGfpdwSuK+AfaXV7C7AxBWFpJ9wwKazua1bEP3M+plDo+7vymS0cm
LDoRxzgK/qkQfq0QuDL/ukI4v3/7bN7/vWFQSNrfagRouoKgScuEE+Kp+/inGkH8gtCFTHJcmRSH
9k8dA0AoMsIRv3B5/5pg9nuNYP/CNoB+ny8wgP7/vRrB/JEX9nPLYLmm68D+MFAyIktUv8TPNYIm
9LmVnR5eqO63jlLHdy2CsgzBvNFlzxUC+mrqPH9BUu8obX2Rh0SS9mrg/Wkq9f3okXdvjOgCnew4
IQ5cLSyAi2ggxIYNlsqhXHVKz+8i7AeQhGwj9ryNGVcfes/SrHP7265nf6EPrzb2AB2bgKX8AnEY
vdle5muk5Dw1shf7AnNBmI8BiTRq+t3p5bbHglAqL0Koy1cMXYVfK58Cu5DWHzXbJO0m+D6M7ScT
BBTCyt/glgnSQSwPZRpd8X+8L1ghNCUU8pQ7orRIqk4xTFjKOdGjUMbAA7q3dcqvLvaKCJtFDpJv
1Yz8ib3yYLSVfqdhykiy8MwQ/sh+EFJbY6G2wcBhJcmdUFlGcZzBvVIuj0z5PWjyIXu34wd2g3ad
6X1MfoGbbZfIgkInkscB6wiqf3b4Ao1ka2TOCT7HQ4vRJM/1a1uMzTbJMG9pmFEiTClRNx2rEt8W
ATegXDCuhHrFnLLktIIWV67KnoAbLW5dH//m8gWnY7H3SqsH7eAkFAh4YxgBJVu4ld805ZsJh0hH
Ci+4NZSrxmANz+rMONnKcGO6FYdWEFxn5caJIHds55CUUHIrcN8r106h/Dulre1KRXaIHQhV9dvM
JGTXhgbzzCoidDt00JNjCEICw3gIuw4eoQCnUQ3OQvmHiEH4IJgKw5LyFmXKZZQpv9GE8SjDgGSH
TXUGV4E8XbmTsGSyXsKvJDAuxYHebQblZZKYmgi0jlikDpOfKMeT20MtFMoF1cg5X4f98tE3wsAB
0YM6U66pRPmneuWkipWnapndM2UI/sbJ/mwq+KONp5ML2BVro+NRJqt68sMhxuMTsgTUNfuhwMI1
KC9XDK931bpOtu/aCWhGOD5oyvtFOMqHo9xgYw4AkUqa6kJ5xWrPuSNXiI2FmZl7dFSvXiK/kuK8
c5TTTE7tWcs1PEqaCxUDO9qCLQ3878yb79QgflvPvlJRdozEFxiSqCAsjKNTQ+tqjJjyoucp5DMv
UzLcsr4XtALTdjY6445F9ytorhY7RKyvghZCbG3NT1OofLoBVxYxOczNaePLsptxGZSIlvpxN2ag
GuMSEXFDU6CDLzsCEKrZuYCeRcH/uJTBpbErdupe6/dl8T3uaggr0aGQ7nFwUcV2yXFBvSIJBI+0
6CwSqtwSVt3KzIi5zxvzXpRoSXS+77ZG/+Aa+E+ROh9AuEjCnvjFvXDfjuZRaOK7Ta4XXDV1NLF8
CPL5ptTmd6nCa2sdN2CNTIHd9mDfxEu3JZhgwmWcOF33XECTK7dTVJkL3JumfDDGvn0ionskcV3i
KbBFOzR7I3attzAtrZuurbLwDoZx6B66WjPfgtCWwTmxaLRyL+383gueyQmxN9bELhMpbbYJeF72
Jvs1WNKUESPP3cYCoLfiKXztzX6/IKBeUdXvI3sJ0M5wvY9xyLawDK7uslymou/W4AKWNc3dXWaH
xAcjTGftBJKvSTNJ5ZR8Dxvn2ti0UdoIxJnx6x6oUrZ2Kuee7Ppv+Tw81RYWDD7FOzdgpOn1SLrF
cuchhunT2VpXlXjXJ85xFB+XBJe2PurZuuuCdl9nWsyzFlxIbZTruUvx6oAbIGps1NNDoWw4rVG8
O+UQIbfAouPg1YnT5KvEu0No0dcJL09RMxNZcPcEyuYTKsMPwSyPoAeLofTzdK/kSsWyi/t4pw3u
JVSmoQH3kI2LCEwDQeEGjBb8RTrl+UpXlqNMmY+cfARtzQQoUsakRlmUCmVWwuyZrxIZM/BlKDzj
aCLWRl/nYzmSxVDfx4nl+VnjnAJ0TKUyRNXKGoXciHQ4eWsq05QVYhVsGmxU+KlSu7wr8VdpOFvW
pbCfE3f4SJQFa5yy46hMWcPUHQPASwh7WJPFl1nZtyQ+rkoZuvqk2hI7g6PMxbaK5QtfWMjys9RX
Pb12YcTGGio3E7HMZ0D/4HipQTVrfkKha7ajspQZbndMlMmMptLmf5zYhzU3pjKi9XFEf4I3DQ4Y
5zPdbDpg5dXiB5Sv76ymDrLmv6GrHDC5pQZvtUAw2ij/m4MRLtfDz8Tz9hYGuVLjXwMsc8g8vlVY
6HIZ/TNx+lWqqHIg/7qefOi77rP593pSfdVv9STSbXZBOhXl74rE3xdF+i9AZaAlmL9jSf+YORk6
/S15DiyF0DlS5f0xc1JTY+ZD7I8YUbNe+hsTaOn+ObjTciBVMPeSJmA5hmJMt36uJwfEIxx/3nxh
MtVuhZYVm5bxMw2s4QY11H5uXoapFvI6Kygqpkv9A0LGneWmnBTNwlQ6EtZpKhD/DAlypx4HNrRV
gEezweJG7zzg4bTcIA+qq2RigJe60475HFq7NilfvEVP1polPooaJRFLq2sel9ScY0klWQ3IE0Pn
siAEWRflgJCpIsg3Lkc6WJe2u+d4Za4kr0insQTmI+nugbUhJdPaQ6+CuWBwZ+tpX7hUi4W1jqv0
nonA55jWD6USl+QK+CmU73/SpptQ+eOWzqsuyCTe6ALuvZrvEtDzsWIYfVyLfjsVmR+MHqEtvDSG
zFZTOFxFujzlffXFS+pjHLVvQjN2cOP5ZZdRrokcOJnWzFUxWuelcr8t0Lxg7RFZ5srhODtlCTp4
RNvZc9JFOAg9GXykEfofyy23AUh6R6vPeKdfkjivV8oWxFQ9bzZMQL4uMcl3TEE2o1vdE8TKnj4x
aveuNVxt3ml9MYOD5ecFYiQWA7gXjM9NU5U7SQkhvHEnBZAw3dvqzfK5uG68sZyBkR8qQKdx8Iq2
zKyKvq1QEDHNb9yxQtTDeGaU5jOxFOdeQ/5Rm9VmmCSpv/Nn4NgbKYnzkEH4ToDq994JS99JrcLv
zKXc6qLLzm4m74JmtuHbcFNWSXWNGqIxUUyuiMJjLpSVtkJJEZhuE3Yhu6ckKa+9yEnPsIEVECex
VWFZGdqjyADJrtvXiVxTsh+8VZe3x7DpMn/QkEe6No+r22JHRire4edbxN7JinhT5i1S2JCJQVx7
TNGSuxSVONkh9jEYXXKz6nbyOyt+pzQL191QvjsTUr524hptCRzbExdgMoZLU+psk7OcvmdFPEIF
8j00GamGQDMcnqnSkHuZ5+cuwNlJuA583YlQw7iGaYFZ7Zhp4xU+9mvhGMGqmHJ3Y2GxzG25Z4HU
rYfQo3yAkJtp0qKC0g8Cc9fKrhDmALaPGPhOl5ItUFN2zWoe048+6YmIJOdgHu8Ss2dGFOafHFK3
JM2h2hnd22G0xIaYoYaasRhO3swsqTK+JbR6q7aK9kY2fx0T7xYj7UNckPYAt+w1qzsEf5oVbqlP
Ewpn6LDYHV6R2FxlyIANPOVnsgA4wYu8W/rRWctMsxFltTRsIV1cFDLlY3y90ar0uRjLZ7Y76E4H
5q4ieWPEhAetK2HflwH+X1hzuMufkkY76uFw43q52IjJ2tgRolHsXITV9mv2LjoWC+21q+edsnuU
DZEWo4MoKwqdl444VUp1w9sPFQubltzM/ajz4NUYZC8yLV2kGKQ+fvtnzPLrmOX/vRbP70j4//1W
VGqH329FtYkBke+w+1SkJP7p91uRTYzESWSTVM8dqGxQv92KMJkk+WOCk9b7v/3Nb7ei84vCrpoQ
6C0bBxKrnb9zKyplx7/qJ6Dwe1zMEoo/ftA/Z8i7DiJwWxPLxcijp9pgDJBxiGFBrlkTLvnWre2d
Tm1lzdp6mLwnQHaMcntoicisHhOXeI+yO+RJsgHKFxBz7sDU2cQKi5wpQHIpxTXUiubQ0R8AAckS
7atk6IfXHqd/dHSCIZ+gYAp4EJmT7NuOVjDnE30VDHRxgNsPY2oT+wXWhsAkTEmF4VcR8qh6Kh/n
WXuCwvcFtWW/EpJWRTS03dpMtop7o0MxhZPy0UBbstJiXIWJuK8SeUe1/CSHtvBJmKaN7NLzUDVg
WIPi+9wQHxERthSYDKRlkxuMfKZL1+jvqCbJyhmM3scX860e88XvRECVPbmbUHRwFspI36aO7fBp
1sz5MCKAXDP6Puq9czFAgvd6dFx6Z41ixWF0HyHx5koksvY5Et6rZjo4/zMDsnS76SxIiTEx0k2y
fOmacTv0enWrB0q5V36XKFaHJr73ejWoIYYHpd5Bz+entO2PWjl8Fw2TGqHNHEmG0TO9Z66rkfIN
Dj3d160GBjQiJXjGZB9gAAM5ErkXOVfzeplrXBUdqUYEL6075fEq0f5DaJk1kl3JOy0mkk9Q43xE
c0gEMNuaLsD3BbiKy19SyBv7vm8uQYbX02DfgPi/qStuNs67XWeBQ11xkR2Mjsultc7dhGnWKKVc
R8WwNQFtp6gk02wCjsRZnhTTe2hTJ/E9ycxW4XQK04rmDSWO9i4aAMTNAMhIT8mMYd+G79c9s+fk
KhQgkmQf2eRVGdy6RfMQtYF5K7uc+bkMsbU75E8tTb9Hzwrx2s5MujPHdxli7QoNE0jG83/bxy69
hnnQ6vaJ0nIvevk0Dqi0w6gVftdK/Za1QXKqipKph4cKJ7Ig5QUDfKdiAukBhFfF8enitpoMeQWM
y9gmHXaeWe1ZPt7kKYXAVMt3TNsWm5o5vjhIk0kIM7ezm6NqbUdfJ6J6bY3F17ktt3KIX8qQS9UD
BRoSK7VOsjlDmAfNY8p/bXr+EtKnKuM/JrEwAYXJaYNaC42XknX9aRJbGRPGPc3TL1n+JTW/oe0e
88NP7cTdr9/sv4o+vytR17f/89//4Ud4DKFZWnNGwnL5k69yrsKpRYRgXtL2a5/ezdVj4Z3+uaN+
3FECSd5ft258JvBC/Pslpb7q90tKR64HuNwwpUPPpdb1v19SErkeRHEH3p/5I2Hz90vKU/0e//SH
meyn1s2TiHwcZATqoeHW+zuXlBIS/vQA4jPDtIaSASoBvwIggj89HRMhDWQ042RIl8qZD5CEqfaG
COLQhfxfg1pTI29+76ryU+ujh1kVpClTbB+HJq1WYKOQz+p003ud6cPzFXuBtZJhKQVuT6WLMpDT
mdp3UUVwbkRAhaiLsx8FMpVyoipmVTpXqogeXIJ3XVVYx57d+mmvB7RclN2jKsAjVYpHNm2GKs6J
lXoeqNZjqnZ2CBxhk18MDIxqBnyDKvBTKv0FA1NJ5U/paK1i1QxI1RZ4qkGI6RS8pLnaqnXoc2kz
xZZ39DE0I6rBIG27ALOUlX7c1t8NuhBuz26da9h65s9RtSmzVW8G1biQf3OeVCdThBS+qrkx20K5
jsdqnVZkdhml5jLvgoSnD9PRWPCUSDqlHrlUjzcKhcJOp5Nq6ahao900dFgy0Qci7REYN4Px2ZFb
lsI3XHksVRfjVMwki1mAFUgRJInTob7P40e3J8Ury6p9noabqUweM7a1JNldq0YcieZZ43omJNrK
rwNvaZ+bEZVw3BS7TtPdrWtXN7qVfy3aKGMtGZwE/moi27G9/PBcu8p+jReoCt5Q2DN9BXKAQ1tb
urna5To9YihS8YIalMbOZgMv2cRPaiUfs5sn3GPrSNjmo1rbx+zv6x+LfLXSz4dp383RrVkE7kYb
p3lbs/9nmwNuxZ1fbeE9dst01Qf9zUAxAD7mNVYSAluJCRxUBbGcbkYlM8giNAukzDprJuxUN4gR
LILUEtQJ5FnvcXxrpx7dwqwEDPDdQTCE7gUGJjmz0fLd5BDuo46bVAkgOiWFAImlJ6VJOnv3NCix
RK5kExn6iVQJKSwUFQ2x0Vzelt8osYVWRh8htC5m7POydUd2TwnaDKm1rzFjjFKJNgol3wA2t6qU
oKNT0g6dGOpJiT3IILmbUX8A67ixlRwkQRdiBVG44fZ1oCLOCOlcth7NHsyUs7a78qawVKOSV+te
CU4iO/3eokCpUKIMbXCyM4qvdE5uXSmOlRKt2KhXoFE7K8qYYZ2gbGmUxCVRYpeaNQt+ESo4iRKm
SN3XBfx1nlkHJGyvhpLMLBrKeC1CRpOhp8EO/TBJDY3b+FIrwU2F8maZ6mOgpDhMHl7sKdhBRH3Q
bBsQu3vRvPYaCfuTYfttjqYH3Uq/XpTMp1KCnwHlzzCUO9zu+5AJcKOkQakSCfHpsd9adEO4x/v7
4IeUCE1RjrbI7tjL/XO1/bjalDrtr6+2h/eie/+vdfb+n1bd6kt/ut8kYBvHotXiElFom5/uN6oN
rjwW4Yo48VMT5pBTZrLRZhGN6u1H0MZvTZj9C4hEQ3o2EBvKIvm3xLGm/m+jSSQpiHNZqlsWP039
Ej+PJh091BFdWOWFzwpKCkWB0cd53kwT1go5hTrolnSbGfOhyBmMrbwies09R8Eltq7XYeMobx0U
7ImlAV0INsIEE5YlTnnKYqckzbp5mgX+RFwjvtvO88olYnmY00e7CS6J6Bao51hjizJxWDsbS0hA
vGIFZC7LGWzCCOI5Tm+XKB7w7ZB1E6EvWqcWjptCdEhDdG+zIGAi6BNgKOFfSwDN1BNWuSf7ki0w
Rfc0o8+ZOXMhLLSWH00dhNRBfAGS7jvJvBll1/odZitaC3Z0VmN92Pyd4DL4voT0UAUPpMKKaVRp
ZsmHF3vuZg7Y6SFOSZEFRAfwp8Ehqwg4w4y4KWFK7EDYZUfL0sZTEEcMogYC4Mwm+RLXOeugjBqe
/uFSat0aciRFwoIJ0+4fm7i21yRVfLGd8FLVOmMcYzyZU1xv8UL3LBn49BcaUPHRFPXaa3hN07o/
V4z21ulcsiofNIVSuLEK+ZQnw72XBPzeUN9Wy6jvHaNm75jG3/B7ncNiuV1kPhADguyxTxpEgNo6
YNpDDCgrychFW48Hfx2mBIcsU4cvLEixoiKLqgjz9DNpH5LOvqYBBzV6h9GXS7ip8UBuR638qCUU
HynaW2kQOlGz8hb5Kc/ji571R8NYGoKh2iP+/Jkf2t7VMWmMbspLIwbSi0wuwbaAGJhATq6NMylE
aIqgiKxrHNr7VC/8tNI4+rS7dCrbM9545nSsWde9a9+Ttn72qox19IzZ1sxNGtKUS8QgCHOVmSSl
JKlgkT4GmzZsHydvirakTJxDM3ib6wHcGTZ6+Dy2b3XiyazrN8a9jq9n4DRqLBBuHF7Z5530KfeX
cLplzPWtscfKz4eW17C1D2HNpnixrVPXt5f4R2J7+SO9fZ5ohR24tV5aPaUKIDQswxHWp3kusHLd
JKR7l6m476zmm0tj3KBUq0gBDwvbr0gF90gHb4Q8lqSFx2V5MyXtLa6Pu0HFiddt1O+ygIhxm6zx
xdb6ZJWMBgqvH1nkJiUgtublHNYN/gpcWNswtqbVaNj8XCAcWbMbnaXdzE60HxfjrrFeWw2KVd57
XwoP2VQSHhsJrTPvLGBLBtuC5a5f5D4YYvSbVn/lsGP02flSYpDTYnDXQR3c4f1DHYu5NGUlV/bx
PYrfdTCHD0uFLs1uEL1FBM2vZINywITPsvNC3dg2MyQqI7V3WRiHarPKsSQjd1POmUIr8+QUFbbr
grXfikyGO3fSXhyz+F424hsKznRtltkT0tET0SQGnS4kP0td76IJUKgm1Ve31+DppdE5nlyOCSHu
cmr8FRWQfiFf8RPPzbQRy/jZtyrM1Z7ujXGuDkYxvOkl6AiTci52mLPXaO0wIBL+AwrKbM3d1IfP
xeT1PgyxbeXOO/CzvqiaOy/OjgJFydLiZbTq4Jb1euzHdrovi9m7Qcv4xe0xzS8YGw3PfNQFFmEo
zK2/1Hq1qaZk2tSaPE98DO5Q2d6TOL+fMjNeF9kAx4rYMKkUg8x18QY4nc/fGhP7iqPYi+v3qKZi
7uZuYu6VbTDzfg+9j5jNd9sZ9ymvCfcAFOuwICcoc+/yTm5FxAo1GFRCSuA0JImN8Zrc011U1w5M
nwwMbad9Qy29wRlZ+5YV3mRWeBslGE7tPh6OpqYXG97Qec9M614td/QctDToad3vXQQ3E5jj3m3C
w8ToPtD81DWOEcs7BaR+E+1CyZQj5ptYB4XmtNUiRBJxsLOXmXCZyO7RX5CXDFDrI5URrM7W2DWW
s6yGugY1hg6QTclDb00nFm/swox615MtZKXV7VhW2aHSR9KTpnsBMYP4yXmLKe1Y1kQz6dr4GC1z
vx17+Zl6PToqcGMQwRPACZgM/qmnftRTks75r+up82fz8cnk/xMpcDcfvv3Pf/+6G1Zf9XspRZAY
fj9A/MocpJayf5RS+i+4j2wTtudv9dJv82wcSKx58f2x48URrwqcP0opyHuGQzllkPWl/IV/Z1Qg
1Szqj1kVowKKNVuy12RQJW3GE/9aShmaHIkFStOLLsyu4ZCOCWuOh9zUUAKlDuPTHwzVvk7qq67M
9zIHbZXvp8NBBMmuUHIxBYMAxhopKmsFnpW5SXMUE8yll0ApSOwOsfiMF2sN7At5CZMEK8m7fSUt
+lFEKADoL5OWDUBO5HvgsMaymvRYIVwp7AnLEVIWKDg7sFnLtnenJ2R+32w++pVR8g2MpdqHk8XE
1y3pz70rKRnfByxAG1aSZHHr6Ggq9nBfAqQ1mmkAiBBztwb/enGR34x5omjCDAtCpc2ZGnc/2Kia
8xSnvi1fYfdx0ZRc7YPS9pRlPWwYNCb7ysizjccWFKR1gFSnjl56LnPA3bDeQ1VyLNAPt0bEkcQa
VMNiYXfRnpFqKFZ1xbR9BXFqxmWhZXtyHSsSwxNW37rOQVsX4b3TOdOzPeDQLB3mo4TPWpcYOek6
1GP9lhBFws5MeYe9CqxhCxHWrqGRwLVot1GZM52geqM8TlwSd+puX0gDhUxE5zwP+gSOIQ3am0Rv
iivRlcbRrRqTq4JdX8jvUNTxjelotn7w0lZLtxJSP6FGqf5Vrw3T73sNJ1iSnKOhXyFORvzJVDpC
eq5SdraCSYSJBHtcTzNJ7EaTfqI0fa7b9FQKJIjQxncZm9E1ptdz42nnVgMAE+Wxb1UZpujippLN
q9TSUzLGxJHK/NGAHL+Buv5hIuSRoXMLTImxTdQ5KbrMGb4HHa+BncCKkuWsW6JYiXTcpKq8Ncwh
OKRUvH0O0Jl8rQKumHQ3+RJ+LD8KZFGWaEMpmktVPluqkMZB80HEBcetKVL8YpTbRjRtelV/5/OX
UBXkRAhbPruChIU95TqmmNtOFfCuKuVRcsWIbxjYxPyfqtyPqPsdMt3XoHtR5lrQ7VzVHsyqURB0
DI5qHVIC6VdzlRIczvLdjifGRRYKsDgDRyNy+WZPOjKIuXwYVTyyN8MoCIrWWdUAPD10bHQSpqcO
/M88CL9lpZut+XQB1JhJvtKSux5+C8+A3OiC5Urfzvmm1JWDtRy9rcujD16L/CjRdPh8LHLNEYKV
C9MeOqT0BtpN+fjP/fHr/cHc/v+5P8gp/mw+5/9wg/B1P90guLtwnXoeRpZ/odMiIcILBoTWtm3C
vjxa+N9uEJsoGiRgP8bTytz62/WB0ZxkJId7w2GRqjxrf+P6wOf25+sDhZkBGNflNlLz8D/FH+VV
ZkIBce3b3FiGLY5uExCH8+rw1JdO/4wo7gtA/WAGqVfrG1m7174LvwQqD3tmHL4G4+PXRGXbp4TY
bGNMv+QqR1tXidoz0dp2h1WFlQ91VLIXIZiqCki9RcjGOlLJ3Cz23jSV1a2r1G5D5XcjUghQXicI
LDH/BGFzUyiecqLAygCWqVVfF61DsQx5eaSwnEExe5Hx3tj6yzTAaLa7SYGPoDYrfnMFyLnvWeKC
sR6eCdx9YwoZH6nfg40+YqISoKDJT3sTig1tAokOFC3adpnjgo8mQvfWA30xg5X2ml0KZLpWtGkr
Gb+QJfPqxtp+BEfdNnCpHVn5HvVuDrNaT8igzWbmAPGt2S/rWsGtacq/ldCuww7sdW2Pt148El8T
y4NZbrGTrqK5XEv5ENbnxtlWXfpay6he8Svu2haudgdgO1OkbZo0TiFF3w5MQPwWPO6B8YEKS94l
gXayFbO7VPTuIO43Y5ncV2hOmG4sW1ORvkEv7mtiWxvFAO9ky9nWiF2j+OD4lu9m1wOhKeyVUAzx
qGDOrajiGXjxABlVa4VUvU7zVSgCeSvsUwQSpQRNPtmBp9TcpxFoOdFvtwxlfTuxUOIQSTiGEQEl
jg+vB3eDIp9nioFeKBp6uFCC2yOEmyw1axB68I3xUuEwViT1WTHVuxwlbOe8Q8M4IGrvtn0L/Iut
L2X2fB0dm+QYPV7btYHHLKnXZp3cF3oOdYt3TquMLxai0ppgyI1wbPdUa/ohc8szIJ03lvJPUQsB
pnbZPI5z4C82XHpITFwNDRrTNOkOw0yA0VCnz33MZbBQkimh1jVAt04y5bTPEbdsmxAF+TLbI4mA
B0PGxMU67nfej2NZVRezibapLXaWnpHpEuWranDBzGXGQ7IUb5keHzt9PJeLHFZLV9yg+D4J7J8y
J+8lE9XBHdyvSRsevCjEtYBAzXbbR1BWD5BgvsSlfRBFedM35ifk50OK80wTxVvRZl/stOZFXRjq
GM3R6MtzP7Adr9LpmuXDbgrA9iuc3jLugakf9Mbc4r/b12F0E5qiWjWzcayy8Ti24k5EJvDUpfGD
sHsZQSOhAFq2ccNcu4fGPC/OTePJeyuujmk87M10BpuU5f0hGeTFFM0Zpd+lqIaPNsbL54byoS3b
Z1JkjiCvz31k+lE43xciY1fEhz7NgBaN8XOYOjtSg/a5HbsHNOw7G5giT0d3NgrCvl3HoGQJD/jy
r7k2BOw8arJymgP2whemaES6iCzzPdnfQ38l55pt+OIg0SqW/IX6icyKAfQeAwTEWzSFxdnI7DdW
Q7tRo3DxyI6Ih9eC3Xlrie9LS4IAIMPN0gYvMSBeRM8LfMh7kmYZRbpjJon0JgtpngzjBqPEsmns
7EjuwMn02Cd0fYdD0jsS43sxh4yJ/DyukjI8jwGmitgrFJLRXWlNdqsJb1eX3m1T4F1wx2mb10Lf
xJb+FOv9adLNZyPVUEokDwCYbN9wra8VvsGyDZF5j0irtOdJDBdD129Fiv7aVpmZ8/guNWQmcRXi
HoXUV3e8F41O4EsfxqCL8rfKMM6zl5PdFKtFQLJjjjX6ra0/ObYgsWNYRRGNQKtdh9imczcfyW7d
xPHyNcmch4W641RYdYWaLbiv2MNpSvMSEGJlLtabXtk7RwYr0xitPbM8E7fgJPcpdB8pw890xnXk
FArE58wnXUeZruuVtRUxCQQ1fTUPRbWWEwI3OxT7Nu9f2jF+qIvlNPfhY9C0e+B9xN+M7lMxxjv+
ZkInsueujobDZN6ljKwSAZIusWeOlWlnmeVl7MLHWCyt79rDXsuWXbfAZ2xtCOE6yEWPl0a/aCCO
ABDNV/gFDym12UZQa/tuo+prHTupYZ/bjPt+Q7Uns00/1vGTBTyIw5/mXhaMRXM0r9uotld5vTDI
cAc+ncuJ4Hu0cg1/ErXovpmQu4WFd+fmlsvUayg2ixbXKzmAcAoHcGQDwdsD3gXTLpItNwzrJZel
VCVVtRjS03T7gAGKP2WIRcrBG24QEoJPgEtYNO0BKBmW2ZmMOIOYGaK8UPVYWfY8lKHE/2w3vhO5
xVaPWkdb5YnN1jQPTzSb1aWo9e4l0R2YedbSaLR0o3VtR4zEmbtQRo+ZicmMHlSnb1syf9G102g0
N0MV3xFTtjWnZONIRLV1cM9A8NjXEmUKa0GZYeQs9PqFKKRk7YTjptFbDOvptOvNgISdrvs6JD20
ePfVDIzzMM5cMrGf98O2C9gkG+1jJYjDc53onZP1SRjNPhiji7CmzyAxjhg0qK6jeMODRPStZrxU
i3V04vwcxJmxtp0c51iKozW/GXqu6GYm3/TXpQHRPWl5zy4rxsuwHAjGPVlTvEdXC2uzOuTeuLJK
kYKrQfhEaurVG/OHDt3YUM6znxfFY5GNBWvq9Cji8SCEdoY1tKYU2smpPnSBB9omOoROfcT99Uws
1TErSGw2uGkNd5u61YdKb0rS8DoFVAqzVbF2iDagVJjmdZ955J20oli3PHQTUbwAIj9Y9oSr1isO
pYjvGxUSI+M18BEiBHKsLJN4aFM4el2BBnyeMNY7rDLQXgUkNkHFU3jIFj+tvs97+TK4JjsWfdoS
ybU2aHwpLeoV6tH6f9k7k+a4rTSL/pWOXjcUD8DDtKgNkCPJzOQskhsESVGY5xm/vg8oS5Zk2R3q
tXdVZbOSzES+9w33nsvpnjykekdfC9lxoHF3EiZWXZDulTK+dxxoo/Z8Ce8qxNmg3hKzt9Hj8mOB
QH6lZ0zrlT765NdFD/Fx6OgS9SMC1qMf6BjQW3MdxeVa+tY2dqK9EwlnAxoOuPb8Vk7GsS0JV+Z8
by9MjYclKAaDVbbF2hV3/dqfTPtUqGxiZbcuWPCggRNXqVQu0hYJlBLomwZWpesTv+PWjch24WQ+
GkM83TicNCC+x4txtLuVgpx1BH1UKuajpsX+poyqBwHlxRVmt0maPvXyhr/a9skbWY4e+HZuTzrj
LqgR2DJTOJT0p4Q7zSdFq89LNYBcZyK/qOrsMw09ULipyleS/zYlrJX66iaIxnKbziQZWDAMpra7
mOvl1jbkw6jyRYvpTlf16KRuNcmjmkTHZGD2HMuQMPa5ucCwv+ij9I8abqizofavnCZ9BIgtd8vX
3USQyG6N2zxByvBoh+0N6IErdRijCwdkHYFa+6AUtwxl3bkwCG4bum3AhkxkyUUVCKLkJNNRI/vM
5CblLNfWgW7fJuy9I+xjSW9SZ2J1brT2YVKra8ati9LSOsZqADYgJo1JTojR4/sqdR7lqF+jySnO
DR3sZ4cGbqO18pHE473TqMoC5M23ec//sVKpmwKo3KrMZb+LUybPTV5yOwYyE/oNQFSNNoKkGLm2
00lqsZfoprLW1MhnHfddx/d/C7kAK7BehYu3wPYdHRXgj/M3LRIC3m4enWISdfL80JAX5vzh6v5b
QdqPQz77jxcxVUzDuq7SSv74Iok/1mAom+gkJmI6DgIwpCJv2+FLG/+3L4Mi6rtZ4h8vYzFElMKQ
iwX5x5fxhXDoAgSFu/Z5KO4U/Qtz7nf+/wlXRe6G6o236+f3qgHNVRRmlp7ygQcN+RIyrm/d9y8+
i1/8/pYtNd4h3igDM/ePv39gwT7VjSo72fQdxqXxh6Lub3//hdLy56z1r+/PT5+1NBM1VDhKT7jU
oBQn6qa2VjgDxjfWc//8p/zipSzabgTRkhwaKFI//impHbD8mYvkJOIdOlCE+SXGaulxDeM0/efX
Wn7tn/6sHz4Wpg3fb+OFGmU94X/pqdQ93KAGfVfLxnE99Zt/fqFf/VHff/4//VG5hf6os7+8kI5X
EbxpuOEeWa7i8v941pZf+uc/ykFhis0KrYOm/SQx0NlDF1y8+akhaDZ97se14b/+85/zq8ftu5f4
+XGbG4NaiTnlKbefY/9RKv+Px3mRqFtykcuzgfjxcyHv1WglMQinmBNQZ2k8/T8OL6RJwlx2EegX
l73H9598ruTU96ZanGbrebCOCPhc0d7887v0qw+dh5hB8IJrU5cZ1/evgVu8zCdiJU81hd/kYZFW
jaueWNdyhUz9t1/LhuOE621hNzJ/+vG1SHlgyEbKIIk51CTrqIBYuoYvX1BjXb+/1L+BXMuG6duh
u3pGcPRlPXZ8zt7+89/H55Kn+C8LM37m27hT+wBCjzvEQjTI0p1n6jvtkUn7zbFGdvwXb8jXcaf9
gUUa5pCvClp+6uvE0/6gGujmLHB97OHE72U4gPziGfjzYHjX1qIll8tejqRtdN4/PiN11WTS6LX5
VJbkRKmUGG7NIp6iarpT42rrLysKsmtXftm9iM5/iswRB8goz/GYpZDIlTunr1bCmA7GXDJWbHHu
Ax52RUD+I8CBybcvRRpAk1U7bV0NYotC7jDoxkWRFVs7cHbEGqNCIqjBNpmj1gHwLrYON6ZRdBsM
Gm+KmZ8jQkZZ08vgYC0hDxiqfNeujPWkLW55lD4ZEQgCoalXavY9dKpLCv+Twf4Pz3qOPlTvU7zQ
09YfUSBMhnOFhOImoDwkb8xGIRsXbpAWghWIfBuKID7Mc1ciQON1CNzdzkodeCTQeKyQdjQtYgNo
npFPSoBFSw2O/y8ozzoRJGutJK2s07BfJWEFQ9fYOFX6gj5w1U786mXfbLuKkBivkPF2RNiwsUS4
8KN2dZ5DKWodTHnhqpaputem4lwXIIJVsB8+s15Ul8SL+QkTxQQnpTOYN5UamdgE6tZjcsxfQUYy
wERznw8d5MDZMWHnG+me8dzRxCOh53nrNa3/1AT2bUz+wz5S9J2c/DeqlByK1EiGlpkhk46xnBfo
P4m43BWh37CQycQts1BQ7aOxp4cbVzIor1nw7UZgLl5IsDNo9qbyiqjx90wvEV+LBPlS7IDdByKA
hGyCTpWCTwqS11qlQeurRT+szIsBVUV8bCTYJ7CZA4AJVwrbzk3/znkjrDk7JLjY9+aCgQswqXqD
Yif7EkbcaAGL6xdsHLVpvG2hr1e7ugkK/8aGDHJGXtqnQCkgRxGOcAaCMfLUtN7XVXDLuLbmmNd2
UsHFyfm/RrtjrHubgr/Pi/Pcrg9Nk30uRqQKch7YBPcPZcN4yJyJaNdQckWw9rzeLx/6xhaEyc0X
XT4isRJLCkEMO8IG3lJA8hqMQz7bfCWU+3ZQhUcOxS7W6FzMQJ4sFpUd3EQjYoHbyKRwWVVuY0u7
SJHOolptn+bSP/UiuUMmRXK64e8DrTK2zGHh1qpVtK7jotlEYf7siOQQBgSFpAHSacc55Kmza7mg
vcFCIuJHd/AmKi9QAsS0mvikR+V9n9grJUgnt4a4+9zXBlh15bGXSxRAax904qA8rITJlZnIp7ZE
K6VanxApndN6H2dVngdop5ClGaeRkNNDXmcg8phvlZZ5ro/EbNR00KQ4X/cBkVNJNMHRuk2UtZzs
8zICTtbHjeuHKMfyUrmNektFLZNe2ZGleFpRP5ZKex2bne8xyroMDb/wTL1d6QPMGWTqimLuSLSF
iu0z6hZ143h1Mrlp6Bzgi+2tPjlFUKw6El5rbWjOe9Jctkk2PzkmAPQWZT7hRozSYjgu8eJ/rS66
Yd47ZfSCgkpgjFbxBQ0OioD4pk2NF6cOq1U3NkxMK+s+UBBMqZnPlxjyt6uHLQt0zkKIeem4bXIw
Lsd/b9z3JaPBZff3N+5th9737a937vJTX+9ciLfYlARlnEaM2eKR/HbnQr0yLChVDnZH1CaL1eXr
nQu/iuLSElyq9Bk2ot5vd+6yZSRNE68kEswFq/k7W8a/ogh4YQpZwe8AMIH8pJ/u3MCv0ENkRXec
U3SyY9Q9MYBmFpS0liv6dDXV6UdD9SNvKvxDhAl9ZahgrLjHLrOm2BOerZA6wpBwuXkbJToPOzIj
LFbahRbdCJF86ok1QeDfE4SgDBlrMI0lCuErvjADVCvMLEfxcZgx/jfywakCJMGhI+kM+GY6yrxh
IKRwV4chSkCUEQEToYjRFYrfp3Iq7vow0twCsoznm+Z9Dfc1H/OPraN85I46Z6R+0vXo0CfhRVtE
T01hE9QCNajWjdfUCRAq8IdRkUbmVtPYz6jFYzaJaS1jpnuAexKvSoed7Qx3k1bW66AdNlLOrCJi
feDMjBjUKvYnZtfGiovuomnTW6atiA8CY20k9jWJ7J9Qgl4iqWQXVi2O1SBu1z5APbvsH0SSv2Jm
f/Qr7dQU+SuuOVhKSR2QQzdYu8bKLoPS2cE2cNmgPKVa26/L1C5XgwnobiiL10F1DuCH2xXx3YNb
vgtRJOHvUYWvAgn6BXPRs0r6F6SZACiD7DgVwwZvKtgFZxdoxvU0958jGb9ZWX2rR8EWgO5DFpDa
Lix+ST4kR9SGOwzs1DQRM+ceK/PK7JtD6IyfUxrHlU/RUwhfeF3NuZkJ7aMMjGvZsquzo+RWBtrn
TjP7/RQtP26QPCP17iFTWNgUIWwKw8RXSFGCWCbemmb6SDmCLqbsjlq4zLYSnDcMtg2X8FGuumQj
AIKzXxNbPC+UGUnZu13Jp4Y0cfA0NseEwujEZtgbM2qard8QhkHeBxichKlcjB3EGOZrC/ThkBub
rpJsJGd/iWZClCJa5q323MSrtOOJM6xBQUvCQzw1fIaZVgZsROYbKOi8am6TEdFvfNHdzLZ+Fg2U
dJaWcmtWfrAKUsSTfZe8tsX4YEODhrpQvgiVLXVe+ITqLfonEe0AJiteoYQ7kSvxSrGS3BOi2OKl
2aoCznMjFO5MoIuu3ttvWVxdkLXUuzA+S+haLXQvBtkaRKw1MQh3RUWBtihyeRozl5vpBVYX2U41
kfVyRp1LVpp2LvMkX43gd4N9qrGlXxFt+5EdQN2vawV66z1vg9+etHYZ9psRviTTz0R+a5HIQyB3
W9IjEsBIGi1JNtYlMWqReTlVUXipV2PwGHUkwqc8Qq4MpX8smf+yTCLWaRhdYQS70HKCm7ASBOg4
xnglUuUM4XOkr0er1w3iaNJ5NdpmU+07SwD9qqKxZZUo9JR6cMJfO6RXjKxG4idjXXtIBqZjhzQv
O86ZNFRXo2m9iqBjSUypXaPxGshtm9d+InGgsR60glvxzr7XGKmTKaHPWriqRGb6T4kRhfIgcFwr
buqMXen9e12+X5ca86u/vy6Pb/3zp1+1qPzU1+tSQ9MJI1oTUltcm8vF961FRdNpLwQeSudFWUn3
+PW65CKFDGmjtgQZvfz4n9clZEmyDxcJJreo+nuaHDKo/9qhMn01uC1NhEH8Fj92qD7pILrhR9Mp
yi/1CQeh5rMcHlvnbpy1wRWTRq66ll/Yc3ptT/JlKlOF7KtZxSVOXB1cMeFarXPWJM4J4GXBOtB8
ccLkkHbO/TyTgjRAbSHzrlJMMByO9ZiWWQlDxVxsOKQpaNlFMXDz9H7vkPfGMkZUoQc2VqJZSe5N
dJYbnUEuRtPK02h+uYaNhySlKpzmF4XUqy+RbFV3l0TtZe3IY8RaZCsc+yZLODqKMTj6fXtWDH1J
3k9zrtps9Ubs8NlY8DfPqxhVPPk5+84ONwzgfaJn800eKh+7kg0Wh7ShOUempJtZhkwSLULckdCp
6xlMUIxrpbIB2OqIzSlIPhVOdGoSzqUgqiY8chmSP58vd9mQ7UMqlhHraLexz7oBJ+PaUYzHbE6A
2BEgjfhPpGcWN+yqGtRmpeCYG60CL+2wSHEcY+VMNPKDM7u62t2YU1mwQjOoERCKeEFUS/ZIHT2u
2xkFJIDRRMhzpw4Dm4jeNiqwsmBXwnWKxa9GLBTEdGdwfsDfF4hkKkBGrKPXSUM245LqNPTmumvI
+YJNvB2F7L130rdvqHfSQtifWfKthP+disZx+3Z+miXDDbPhwQn97q7N86cofat9g+sae5Ehm/3U
dedjDXXSjPMd/AplHSal4apWf3AEZLQE7Qfy1o+TJN63RIyTGdNzpRrVncya6yCTNMR4gcth32nj
doxjfxcZvo4Jw99hWS28oNLPpy5RqbRKaz8pwJLmzL5X+tpG8qpsBkfbiojcTJCF7M+G/eyQYiSK
kpskIDmpx64EY2obETbgkpAObNff6J2xoRTE9FF39zOL69TQPhc67xn90AMJ3BcwSu/wkzwGWX05
hknkja29S/L5oamxmYki3KE3sTywnet8bM8yzBcIAuaHnjxfltDP7RSt4bWeO3G0UqPy0Yywl/g6
SpJEsBtO6/SW7uouZA5MEJNs+NWS8wQiZDmr5C9ZjxWqXZeo8EON1nkOyQXXIQ+SGrgV0+RlXfdk
2ME1dJCNpeYnXdJIlsQyVOasXUCt6/hPOeG5PUamYJPknxIkuh0LsHUz+NsiGha+p1yi3KbLCI6C
TXHkOkNHUpvVPMxdg6XB1J4zsos9QyStJwB4qfiD3b6fbs2ZHnsssJrqtXWb5wF5UOJxtsMDt9GV
rsGGpm50ncr5xI28yxybx8iq9sgOeAD92zSexzVJLTDl8Z1HvXrLY/yApSTkWCiObWReNY7+ycEq
saYmvyx8FBJZo0rPDzQLDGBuuKmJR82GNYIlYkwvp8S5ThLOFTa31d7vQ0HhrA6b3HReRr99TtLq
0ldr3NKW4a+aQfheNlUOUwDjvCQC8XLW7S2MjxBFdF/FN2WuvvoTbpQgme/morjA6feislTvcADv
SNFQ1m2ikYkaEGpYhs2G4M0c4mr7VpTWvO6skHiMpARL3lb0wZBPXdOx0OAaRJ75sr6YVeu81dSz
qFP3Ydhe1wgzyM/S9+aMAbBTzouMvzLCm1K2oUAsocjVFBCnFmbUKJb8sjT6dya93NB/f+Wf6uc8
+EWHvPzU1yufDlniW+XaZ0OIJZY79euVrzJglgi0uN1tlhSLWfbrla+D8YMUjUEM6MM74flbh6yT
s24C8aM31hfQ0W/B+hDa/nTnM91mvo1AWDgaHbf905akMqGdDJSgiOlV8JxzmsDhB1R6royVOM+t
BhCnIqbuScbhWeRPjwTkzV5JIIkOIQtxApPgnRmi5VtXuoiJOKrK9RhHTHbILiruaSMIOFHfw06Q
WzJQhj6icWiThgJEIHprO+HD41+CUoyGsVmOciXnfNyQzRtX6zZtMJiltQT2WseOeTZZisO8DpAu
odpUCVFJLnpsYKob6/qzYgcA+uCtuUbkIxTTOERsgtDMKWV1rTMdTXvusGaiEQ9rbFsoq8q5YMQu
mEMPV6o+X4S9s/N15QIr3V4Nwv3I9t4zTAzD6IkMr2j6bkU3H16U0tyKUrmM+c5fl7593pYhl1lA
GRKgHLjIm6L2NGVI1pMZx25d0v1YVXca2+akJCTMDUgc3Qm1EmfEsAYrZjocTS2QmUif6s+J3t5E
qbhh7ZEZKBra/FKpkvmgywQtXrkJSjN8gDPtWa2NBdPPDr1MA1cvSEpooPVoJbIarbBR03RUC3qG
3d4Y8OZxO1jVrK1qJod5xZ9bpqaLUQEq4WyZK03Nw1MfDFynZdwRn4AWZ1SKa3NAw2QO9GtTTcRz
h01TY9sQKQfwwhvCe3AfdKW8axwVDRd6pZpzbcNKAgcqgV8j0k2cLVb5aPgdqwdVYZzv5lrQeM2E
bPu7r+Lll8XKP4BuJItJmwW2yQidgpvVz4/FbCzCQSQOMRGaCMuNng7aczjxPg1Twv7335bnS8vD
mfT3599l+vz6Vv91QrjsvL+ef+8tD8yzP4wGy1bs6/m3cExtSb9jovx43699O/+cDwz/sKlhtmZ1
K36Clars5cSybIUVwKn5Gz4Eghl+Ov8g3gDys1kS4X9iU/zT+UckDXN3aQ2nFvYScaLJx6KfrmEV
gw92glOmVvErX7EcRrR+Cxmb4llX2HVYw2clFBusEtKddayyAbBckadIJi20kVHtv9QBS5oxXQyk
XX5N1FVAI1L426H3D4DwgaKV1guB4jdmP38M2YcgQ4SzrZXEdRZhtkus8kxfdoWZBTxbd/LNnGo3
vBZsSLXDc9yR/9lNUApt5gCEVh3ahPRRE/8W6eSf4sY+SJRXQo6nkByWwqI4pAC70kIhNkQS9G4s
+yV2tFgjZACZqcH7yhamJ5Ua7ZqnVx0HukQmN5TqTg1RkZFc06zprex1h29prSd4UpOUpbqecWiW
8pZ5DXYvZ9Xp+roraQgrTEmQz4EJqQC62jxkDiXme8P5lBX+qtbGZedzZvXtQyfmyCvjZkTQBV+4
m+jvzB4QNcPFt16A61StjaUrhOOI8D5QOeThy6F5RgiIeI0ma9nxWKchso7Llioo6vtCMV4wYZzj
P0LlOK9AKbHzU/edn1xpE4L5wDCvbd4hPwIsrxRwlNP0WEvn2ozESzLOgrAabOAG/E2MB8NdpsnH
GJkPZyvQtj6Xm7JTG9cZrXM1tm+JAMg9cxb30GiYYOawzHX/Dsv3EZ088FAYnU2akpoQPo29clvq
CKnD8bp1zI0wlYdOiZnbwi4wAD17dRlYLpNre60BHLII6BYdxuRKOgc+poshtpDwxStffkaivPa1
hSBPnFtpYZ3W5ILFjHdkO7PRCqztHFuGW+fFk56bBI82OMmn8Vl2A8+XikQ/W4J5+ra4UPv0k88T
6dR6Bpy2wDVvnnXmtCvM9lOvSDzroX5rsEMLOPpd4p4uVTGQ5YsTYcUGKHRrZWLMF3ZAtolQYp+W
3Mctb9JMk+satC2uzLTr1izXTpntJpERb0gSOvDNYAiOWlfcjw1Q0L3Od+4xY7FcLCbLkPEl3gTJ
AHAKSUGqnb2fMAEk4nzc4tPDMtcNEt6NGq+nLqT8VcrPrFZbB/FwBfLID33wFy2BtPNd/94TG/1o
060GjM1ucl+nw0SWec+0uFhLemr2CsDl6LLHXNJuL323Tc4ruT9bYtppyVXbXrVDnZ4hbLTWWe8v
umP9segN3NJLL5aGPNKEA4DQYy9HWLfuKVG2CmxnvLFLJgAFMvwxnD8td29UBfYqYoYgmCV0SUZZ
wIxynZt2iD88QLRoHUcpF3K4Nwv7Y8RkIrThz7bMKvA77Uk9dmtEyCmzjDTqNuXSv85MOUjXpvBi
7iHDPDimTEISSfrkpKvbihlJE9OnMjNxiLOvdUn14g8vjSnvi0J/yISFFZR5S5wS11BV87yYIu6N
EMU8g4LQQ/t9HJaBTb6MbpIwJU5+3vK/ah6AA5AircFGkYGPVinrWk8+T0yCyti6LytGmrV8qZu5
8ERmnUxmR2ZXCFdWIRFDjD2QnrJbFb76Isb42mb2xIfHECpmA9Mm1l3W9wPfEB2qyGCHa5SvK3Pp
dRhxzSQ3VKui5cs08dWzaIyaUNs3S6dE2M91TOvU0UIJWikm8xfJ0ltRv2Pwgtm+AEwIZIpAvnYW
JlWZqct0tX1TiEDdFE4Vb1pyy92yFMd86ecI1552Gi3eHPjPypRdhLR+ytIDquP0SkhKfDPhB2Yo
jtGlIX87mwhPsILqdUDYh98CsQFN211km+dhWb5GM/O3QBMZ+dz1Tsm1O0vr2C+VfBqp5RO6kYCY
8SmvzGFvZaW/8s0O9CK3Q9m+OtrAgjhLedawKFC2pYLN0lkt1Ik+kUjlNe1Is2n8tnGetKxprcO/
FdF7RaQzff37iujm+bVGrpS3xV+rouUnv1VFKkRaRrrC+iMC8IeqyDYpmL7+E37qa1dof7B0Uwob
BBeaJZakfw6C7Q/indsHLIAahxHy71RFmvy5K6QqIhKI384QkhbTWKqm1+frKA9ASqr/o8d9zpdy
HE4jmX+eZDC8QbIdr0si9zJrbBmAJQ18EUP2j0OcnZcw27Ym7CW+ulG0cE5IDslt9ToIzDXKF+6Y
KQdMJiLlHArSs+Fr89Hp2rfBrMCQ4y1wy9S/0TvFPOQ9rdrU69WmBPB+RJm8joPwnv3QehB5RESC
fcYm7EzW6udknO6HkPJBJsTQ4RxRtZ0TUS05cUY+X6aX2CqgucyTnq4YWjY0ZhQUlKtvsSXvBlN5
SnrlbehRGCzRRt44MCPMi+xTBU3eTYRybAXtHl73yR0Am7i9Y75MIeZTcpxVL6VuoboDZ9JNxX2Y
FVeaGazNAselNZH9XXVsNAMiv4JDEO3NUr+GAo6/y3+bF8NafmmqWJtwuR9zKoB5jD9mFW5wOO1h
btz2MN5cEX+egmXQlWpX9oI/sjusoH3QICxpURt2LYy3NEw3Y5uSFOPo1ao2p5ssaI1Vaw1yh1Im
9vQ0xHyYsz6aC/JMMughXuPHzlppASvKNtglIYPEDMI8Dv34GpugthqZELrxxI2vRoQtGYWiH+pq
8aEwP/cSVPpnqLWui2ZEg48+eYtIY0+lFK1qnQw82cXGrvOdKbnPA8UKDlozZx/jxqCBT+lfefv6
2Rt1Ez7jGA1ku9ufG2wLY9ifwhZMMFUKB1P7fkjVC0s7SwtLWTkqEptIqv4GnLl6skQ0eg2JJRyX
E+QZORSHbNaiO/RI93UbjTvddJ4SaK04TAndGGSsEQPQMXSY7FsnH/Y64QNl7cMRmhFY1ap6p3Q+
oBYGauvRn/NtPwBVyOQCyW+QxTY5M3kc8K7e9IcR5+wtTwB6OLDCHuLZ8TKfqJLtbihvyZB5aRDC
nltk4THnDt+AP47eLInyixz1qACSQMGHfSNTDJX7p+12defXOw3X3k1lVumpL6z8NtHYgZdqFKK9
Km8Lu121rUnx1ZE2C9BoN5pUb52vYPrEY0nY1oSrzPEhv9SjlyWFszYiPHlobhFFEX531k7iefRL
rwqHe3Y5YIpzMUGtJ8IokA7L/FEqe0VxhifSDQe8ipW/iuw2B2tYJK8JM4FdisXMJWzzLBnCcdcj
vlrXrTMTfYd6irU3QXqDrvoXId6Mg91Px4Z+jskxwmvWGnwzs77ejMIGhq/lRBnZMwAsNcF8aYzz
+t/76P0+kjTU/3AfFfAYf3EXLT/13V2EgUSlmTYF/M1FJ/2tQ9c+SGHCCYDOxzhl+Ud/3kXLv2oI
pLOMNt+Z6k3RteF//lvnLtJV1D0MGzXLWrgDv9Gho9L5a4e+THLYfCJt0EAW/HgXSTuLa9lp08lu
g/oSgl12Haml9VCkUjubhiR5nFRCnuy2F4dh4smDLhYSkNPP95YztDehKNIt1Xh0btJ9ry2lJXAx
qsI1a4djusjW+uUpNZbnVScqjh7ZFoBKlueZVdC4U2znbNQoO5s2bHfYn5LXiFiubZyjiCPDgXxO
7r+nLAyDs6JajOZKG6+05fvU2HaJjXu6dzQ8wan+PPmZRTPFt7AtlOE8X76ZdTGMrIj4thKbe0qW
728XgThxTMilIV9uBPStWzhwvLkNZg59uhAcaOogr9o8W1GSB5/hWD2GY+Bjzeu9aKGqIUjF1ZYn
e212aFXBOlwGaoAmZ2JtoNcbWeZXRlFxDolW2bZmMFO7dvoZGzdrnULzU8Fw76OWrDMRskNK0lyu
e7auO1NlZRahKz2rMjIz/KK/mmuklGVKHgOS0dlVDAPDIJ2nFjjHWGep1k+8O0qnhNcRs1+EhKp6
ahoNQbA1lPsqbM46LX6qSouTkEGni5g7XqsofUNC4FqPtUoIBxYhcLpIgn20wTFqmWkRC4+ohrN3
+fAiJMYaER9GtMVKgsi4EoQ+EdVnr4ac9RlKZCYAV4xodDcZx62GVll7bxHlImCuUTKjkr0sUDaL
oGFFh9a5RP7DbNRgZEqTvcihzUUYnS4S6aYxSs/Ks/MG9bSxyKgbc7jpQ5S4jcY8iX0dnLZMnCzU
1wjRtog/LmJU2SXq7HCRac+LYNv00Zb4ENJQcmczOhoTbbcDEgKRLmrvqVwRwnjHngCNE3pw0ydR
dEYhnmn1i75Ixh204yyHt2zk7qpFVM7RTnu2DI/ad0VklcBTA1Fvdq/SBkTIbgEgALkhFw4xb3wr
sii5UBHqAOWZ0uIMpI1ONVWPFwHWzf2/h/GX5oA6+h8O4+f8v9y3On+uP0W/OpSX3czXQ1mVH1Rd
ZTwKhfs95enPQ5mNki14/CVWBkp0gdfk66Fs8E+Ye5NkAeHdtL6nf+kf6DaWY9RgrspqyfytQ1lb
xqLfmxmounEwkFSO6IQ7QPw0NnVGQykdVQ+PSmJrK6PP2rVNkb03+6l66mudhMG2amtc8pNiWQA1
Z3oAf6ia+A5sClKH2ezpnGtNrvIKJj3xO5bor8bBLqbnjrVZDS1vrOZOg3JFCBRjBFZl+rjSQW1V
bmKp1bxnp1UHzbYtlTS8sVs437WBKNnNFW4Rdw7m+DYr0v6O8jbWoIyK6SZEzQWjM47DTVmm7F3Y
L+2gKPF9NjrrPld7BWYEkoj7ksUz8mKjnCdP5hSGQPaqHENnaV/qSV8yQ6viR8UojR02qjZwmZv5
FKNqYLuMiaID6ny78zJ/zggaj0zfcwptnwci8zI97vBSWtnRMvP+GtI4buou0SRQibzfQWg0KOkr
+0kDVTWjOnEKyH7s80fXsiPDQoKeWtdMn4qZYKks2hFTN79mmqIDsJBTk3uTQGCtbTrHiLkQkSOC
BLF7vd0a9AZKs4pGpX8Er6Cq6wSxDXpQtQvzdeyEjJHXQEDmRR8z6PPskMpk869NZR1sLXq3q6bu
4yem0c2VYzUW6aOmSj3PPuw2G8qjozclO3eFd/MyV4JerINm0XIEftFVQJrVzj/ZhL0/Jiz2wJCy
EQ9cs+PAHHIRpTuh563lKjaxSftKreORfPRIDm/mYAdvDrSjLcgMHyRGWOABdzB2NwqpmpmCIzKx
o+YBTHVZnypKV+awrfvvyfXl5EIZ/c8n1yp6C35RSS42pm+HlvkB+LOw/7BLLUK1r5Ukhxa6ssUS
SYr9F+Xb10NL/4A3irR0Krx3pTin4NdKUvtgEJIAv0pIshHU3zy0frHrljr1KqWs5CtpiWXq8d1U
I+JbD8i+1Q8YYBlcGjD3gtbrTCM5yyIeXlRo/WyhewU8owEsAal/07GkCJiaXuhdbD0n4RLzip1D
wMe1UlW9RJqFFyvuEY64TZ87p6xo57NA79JoX7WTdquD6jP2aiMQ2zqO0p4yX/fPkskUJLhCNFRv
Igs1zTnHVdq8OnlgDodaL2vjqszSbW/m6RvFT7Qq8qiD0C/Z9aAJxb3iVHbUX5NO1e5lqkF4IzU1
YUi5LOtnaaHGsapQnGvLMr+uKuD4OTyrdTg6FYjdul13YorOjXaSF74/l50bO77z3DU50hhZ+cxw
aQtmj21pdxlqxhK59gRi4jU20S1hHc280jTeyjZ7o65WGYNklfwEfQkVK0CNKhj2+SyMTZso3dOA
dM/tNcFsaEg6Fd/TgPWMNdJHVaETdAgyeB0j6CcEhWr7ELXthZJorMDUml1O1Y37uSyrrVx8NTWd
JozFfPQMu6TSqSEUOazU+HDLlcmGtxkalNltdm53TuEZfm0dJsOY94lksBSBsHcloe8WZGq3DiC2
6pMds9VnnW3lyaq0nTdbhsrW7uddqqJkRLCwnXw2HEoDy5p0BUarcnxYhL+wbuce1TMh86oDeIJc
5zash2NCI+FRNY+ekxrjqsalihap1E7Y1pIbRBP6NSk9+dv/sndmu21rW5d+lULdc4N9A9RfF5RE
tZbcxnZuCDsN+77n09e3nL13bCXbroM6BVQB5y5BYkuiyLXmmnOMb8SyXu+yKsrv415nQBBVX/Op
j/f/WbV+rFrvH36ptzwkOl+i5svvVq7XZ2AV9S3eXV02LFN5KZz+WrlU7Q8F7yeTZjQ3WONphf61
cmF+UR1LJE/+/VN/rVxwWEkVM2wOwX+mbf4LZ2CxLr0utuj0smJRsxGYqeENPDsBG6ks27Ffz6e5
va9s3xVNn1fL+W/EEuI3/HyFH8FDsg18TFfJk6Hn+3ZlpF9jlmOpcSQjDKqWyT9EXm987fvN+6/z
9pP8+jpsHq9X4EJSSgyZhnIyUIwq9WGwvr7/Akie3/8kZxrmQKlIoqEGOKmj5fb6neV8x4C3cKST
0/UrhFqLpn8su00XXbZYY5ToG6VgEFyqBWdpbKroJ6u9aRCt4TMc1q+6+GYAcz0S7/f+OxW74bvX
/LzHHkk+s0NxLbQVRSJg1/uujxaFop8GgbAHAxtN3y1JdSv+aJvRD53+P0IlxLjglzeA9MEQya86
hfyZQiZHyUXPxJpOrDiRgkarTg8JXul2MZV6VS4crMKw02x7V49khnbDtcJojDqNVOJeluZFjYoY
uUInA0EK5N1A87Jep9mDmmm7wZcZEKhSrNyNWhavtcSJbde3Wzcnwq42623Z0WXsK09ppyXK13U4
n3ozWmUkChWV5HbmvIYwc5kR6DnHng9oCz0A6HrctBdamxJubS57pDwqoXnEPSBHTqncy2Vi3BZl
VTHq55BcYaeaFPLguoMlZytyeKbqoYnpvUvovId8r7T6FTTamCyvHnLDXWakbqnN2qogYUY3l4B1
2d0xYhtRoMPcqMhmtzOixJP0EaEWh3tETY5BIF8S6D+CtP7xG9LEN/DzsRSW8TcPvn72uAwR+qV2
bOaTvNY2/nY+tPfaGjTYqXGVQ7thH1/ZS2cxedpixz7iFcvxUdqSGrCW1+ZF5MU/pnr/+IbEw/Pz
/fz6+J5hDvQ07bBRccsWybYgxmJY1niVvUr+YDn63Z35ejk6W/DsKJvTMOR1JGC3t+PXKlhgEyJk
h1PUB0/h20v84yO9fgjOD7J8/lpzIvUUaguCWkeMphjj3YG8BHIgTkid33/B362A6EE5PcPophg+
+0ozMxstK9XU04CXLJ+fe+ny/Rf43QL4+gXOrh0TMs6Qgaqemn7Z0XjD3tWMyQef4qMXOVtlndGB
RI+g6uT0+7nateatan5+/3P8bkt6/TnOlseJvRp5oqGeVJ7tMcV+YpLtcXTw/L680L9bvHwRfamL
pvje/g/xm78U5VRHQdj+z7d/bX78PfhWCILFm7+sXmDvV923err+1mAj+6siEP/zf/cf/yRg3E4l
TIynr1mUEzbW1tGXVuUcdoaTFwaf9w91u+Kp6n6XrCp+9K9jHRI+TkvAziFonEmYkfAZtklwKvgM
TgNnyarUaCoWYLhLP8YKP4sjnWzDH7+MIfi/RBLWXtgqPxclFkmKLEcXHGMd6AblGIvWq1OdZZNB
M+pTfZokJKjITDqFbSknHht+QZifIp2lMLTCo2nUa9obxlWF3p/2kHyt+fp1UnffClTL7jiGgEL7
fWgpHtmjhwReutSDFsyVg50ry1kVmWr6iO1JO8iEQLpalx0B9Xt+YB2aUPKKSbpixHdnTfm9wQGA
tHOOEjZ0S1pCU75NumIZShL9jlDbGnb4CTPyQtLlqylJjx1AW4ihx1GMlB1zPAACpl2jgBoO7gzY
ixKfaJXWw7MTtRe+wypfa5+1gDNi2+5y3/Razdn3enX0w/DoFKPHKI6siPJIY93ViuoCzuU9Abqb
ECCnwyCZBvkpVuIjVdmq7xhpNvMylPtHJ2ouw7C7CIZp0Rf2WoeMB5KUkGdA8873BsYqgPyhA3La
7WbHfvJJnSNS8j6O+63UOMveaK7DYF5LiKWyciZRur6ZmgnmwBidAsNC2QjrNjbvjCbbzFNzndnt
c66OTEPzY+hXh97MNsbc7bJ62nQVEIygFAOOI0UM8w1nqwX6tRVaWMekctNaee7q6XCRdAAjlana
Uy89aYV+7ZTmIkSz7rJtnTqpPQSqCK/pt/UMrtCSrmNn3Cqy/4kUpzui21ZmHiluBaXRFzzQ0Jer
hZVVF5GdDoieKpC1E0ElRWQ+WT1k37Ia13ZpMHgey3tV5TCaDeNzThVPrlNNj2DVTM7Akbyx63gT
w4bftgVwhpM+z/DXYwCa2rqv0TQ4ysC3L6bnYoxeVF0qWmDXSdGWu9ys+0Ujxu5KqmgXoAD7ZT/B
y09HXEs0DEiW1eb4WlXUdUL6EGCYYBPnWMZAudiMuhj15+o8LwhSwz1aWojqhSSgE+IAKMuEq6MX
iPSpIhWK1dXXzMSbhayAMgqlPkoDkCfQ5U0KthgVQmQzkJjj74OQJziSeiuhVyhsbckc+TSrhqej
Z4DYP3A67heI/L+Bq7iw4/ZeGvi5i1qIIvi/yCNKuhQaiolIKCeK7NMgpBRl37RgEZFXYF0Cl1rq
zwHcalcWIoyyqbplozvHSHB0rTH+6khMz3sdcVQvZByJan/DVP45n9Q7ola/8f5D5uFyA2kfEYhW
ousIhTDEyGPgOwmldo+6lSCgpWZHpx41CfSJT/o4fceau4tRm+hFGHmjBGMWHUo0Q5nM0upIS6Dy
MiFWUYVspUC/kpdhABYmaVZq2GvLTidfd1DyhyGeucpV9lUqhBpzHATjNMi9OBm3vpSuYxmOsDP3
j3MBbgQ+5CmSrWeicp9Hva/deiQ8CWE+g0CM+FaYwmShm6RWoH7LFMK3pq79Qn1oIbm6LFMoXGHN
BF1DER09TAEmQ0fSGVpW2dJ0EMd07bPU1ctGxZox+kzJcv9eQ6qwmCDOzGqH5AeWKGocFUU0I6G5
Lm/DATmoHIuwNJPvffT9B01ADHwicri/NA9AEco8Z+ARjZIJDAuPZT3Y0CU17Tuu+ZFAoEC4ESnJ
E7KThqzaAu01eW/9DhfVacywp09z59qZRtSSjD+q/5TL8q4dbCDUEm6PCGWp28njIQnlmyFo90Ye
3iqTJbsw3Zd5HfeurQ/a0hylQwTixc2n5K4OdcSgWWktU4uAx5swTHKvHpogBNzgkzKKD3IhxX24
1VGthAz23Fy2pTWMcRIv8jJy8yYrvLFTcbZOtOUaOkXKmF5FBee1/yvFyPpbIbBYzdvi4//lWsSg
hPznWuSR4Lxf6xfxM38XIVQazHMoQMgMcIhj/9lbVlEpYI1m/0fB8OKI+rtDY9OhMQAi4ZHWiI0S
jua/ihCS35lhIW6wHZv/9K/RvRi/vTkavRzVZNC4SIk0S6VbRDn2ugpp6yHOUzUeT2ULM6REoEP4
zG2r0meOhXZnVvIC1I6SghzIsptGaHwAL9GImH3O3ixhAeqEFnG3dqR/LWN8Iq59smISuUywTUJD
FCImcoSqqBD6okQojZwgKBdZhrbO6fziVkeQVAtlUotEqWdGciJYt3IHoV9SwFSuO0PVVgFC5WWD
zCkTeqcUgC6AW23NTralF4pmCW3UKFRSptBLpUI5hVz0s4TUdOMIsLVQV1VCZxUKxVUrtFeSaMgq
XIJTpJBhCz3XgfMPoigYsBa0Gf2ToYTUlQYadqOcDlYQoOFgWOTqJVJ5Iq0PXTWtE0d6HHBssGR3
TMygMRsh+a6dvkqsQF6pQb9LamlPXYLEXrkoCiLg5bZAH2F2Gb6H8LPR60+jSTe2AJwbAM2vjRw2
UhigVAiim1ZHpKClkulqOZFsZoD0be6rjWRm34iKSRF7mzuzxvTQzjmMFiNG6isZgRf6HAZzY37k
i44RZ5Q3heQf9XR6tudoQ4JEySfRvvpTcyk1eX9IbIjadStyGwb7qM30nWd/PhoFX2lbQt+dhssk
055Vrb6fh+SL5Jf4KMJwB/n3hAOc+KKStroSsKVLg7o1kJKSIDs2yyFwToRG4c/P9I1JvEIxZkTE
WZrvGkr4WAbzFbabfVwBmZeAyrsk5bHwMu0HvVQl9kmboEo8o1A1pq0FQWXFbrQnO3KGta3UpBcb
nOtDy/gmNYnHOqrj1Zq8l8mrjzvhAnTOjp5R7Vpsoq6aKQfNMihIyLMBfANNLBBcsQnAmF1R+5Ik
p17XhtFjPCeqXgdIVuFycZm7Tmz9BCQVGPOg6UA9IefCzQXTTJqgmwWCczYI4pnMnaqBQEsFC62P
9O0o6Gil4KTlgpjmg05TBEOtFjQ1urkZUc3DYhakNQ3k2jSpm0gw2BLDuK2BsqmCzmaBabPAtemC
2zYgC6WC64AYAHWTbOhuVjvhVRbEN7R3pjfW+k0vaHB+axyAadMjE6Q4GWRcnXaw44DIVYImVxUR
3xJ8uVR7aBT/JA2BN8wA6GDqrNsXJp2T1etGYOqCKVzacOtC+HV2UfKo85iUQgijZsDwUcaMQiKT
SJa9TIVsJhQCGl9IaQAOBPClbaR/tn/sKwm5pmOu1An1e4qOFp5KlrNDj1eTQhzwRBLerppmDIFC
xiNXLZziptDXU+Aj8hFyn7LK94EQAE1CCtQIUVAVK9JaF0KhoiqvTMmpvRkNkSQHD6WUaZdqjP6S
1S/ZSpHuLLDw7ySMAIEQI5mokiorDr4Tfo1Ihcf4ykK7NL+omPIXRdN/9s8fo453nXgE9P63iyfs
4b9uotprMx6ITBuYs8kxGQ2bcBz/PeZg1qoqqDkIiEN8/lpVYv2BckQFySU6xXiS+am/NlFLzEbo
HBv/pjGHowIyYSFjHKyea0qabuiqzJyGk1xc1oG+mvA3vSoqLn80BV57QnmnZ/1LVDE0Cgwhr8dZ
eNZTMgee987qulOjx7vI+iTJJ8e4alg5/MuhP4LxeP/11LORs2gvvn1F8Y5eNSdEUETEJttB6Sb4
zJ5YE9ypKVRsS0HRXA11Ye/6FqyfmWDkaUzPjKcKbuPoGziVWgvpe25+JmNT3Zoix5NHWF8qTYE9
xg4PBmGfuUj9LIn/7KXkuzNKD8SKXBYiH9SCMwWtoxZOL9JDNTVEoCsSRTORLaoTMtqItFEDjBtW
4qhY+9OYLyKRSmrV5JMyvgVPD+dMGuxFSYSpTXcECFzhWlF/kAg5JdKXUAkfj1cFoUKfYMCYw5UP
q9P1QV0WhXLZ4+Shmtrmche56O/2BW66TpPuapGy2uef+1m7HAlf7QEcrpS2WaM4XOulvUP5OBJc
Ds5LKmsoV+F0UXTWfGO1yH5Y5tG53CC3NDcms4qYLIxNRcBQezW/DC+6rB6LU0pPvsXhQ+bbjE6n
aWciG7TqOZHtg8mgnXyUQ2lF2zFh6O74RJ4kx2k271GYw2RCQ0IEAqGsavSFAMSvqVQYq8HQL8ZS
B0GlLfukPLT+sMJhuJ206FLGNJn7FfKa6YCR4EDCZ7Fs50xmIxv2TS/fV0j+dL0gXzaf74yUuYKf
Tckx6vLLPGmhUjI7nhPy7BPLHUsTLTSVpVuNBEDjxMcZBV24ia07pAU1xDk58NSshFbTDS0puGoD
xLGaDulUwCix1X2acTweTnpoXzcdtAsF+QPpKbWnEDThp9Fll0s3Q4+PTOJrKUYCTSPHtbL2qxUy
VlfM+EqFj+V0WYeDTSHERkxEpqu2KxDeMMMzB3091L0nMwtvTcyvirwsiuKGhOjLzK+qxTA2Pbmq
SX89TuG16StbfKtLu7QfdDBgo2XUt6Us0XuP6u85llTgGGswQYgZmPaAcydyo/8mD8E+J2Km0hXq
QcshlogIL8h3K1MaoH4El+TgXehGDFcyA05jrFIrX3Sjv2+aYlODSWmA2hmNdITNu1QHactjezXZ
AX2GiPJK030P58QnvUYjyROyqBKC7nIjnTbJQGVQp/gKOFBTSUi7pJlvKVvxqKQtXYjiJu7lJa0v
bmsMFQT4qE9OFz/Fln1RVCmpgTHs26GpJ9dvIAQafm9v/rPpvWx6Oqeofz40/plKj77j111P/OTr
oyMSNVgaIjDhRcX+atdDqg5K72fI6s/hPsuSQO8DEGfPE/zKv3Y98w8WdoNTntAQvbjT/2rl/7kH
MQX4x5ka44o3uxK/CXQ4uiigHhxQxVt5u0fAmCxgRtgCFRkVHuDXGls09psU0mNUa7h/RU5Oo+KI
SWEFoglut5WhkFQqs41k2bAjg0RzCWcnTFPuNkERrDhBGfiK2CeKvIs9ElFWsRU/D34NmUok+fQ5
bpYUAzPSX8MG8zw5l2GV3RkiB6gaNBiCRAORB3JH7w17ZnRPjM0tYeb5yVJ8cH6jMiBTBzAhj0q0
y9Lw3qewp0HsXJFpPrq0S74pUt15AQSM25xsYaqSfVyOkyeP+UpqxuuKFOJRxBGnUnXsgf4GerU2
RGBxT3JxZtU3eIVZ6qfiohHhxkGrrROiIjCoN18m+ppsokG/skQoskY6MpStG7wrHtZUQBUkhDR1
HW17EpUVJbRYioZjL7JP7JmsvZcE5pHUFZHJPCZ46dNauLrmaz8Quc0iwdnqon6fRjP8IOKdIdTu
HJH3TPDHaiYAOhZJ0FFFJjTBzutBpERXIi9aEsnRJDZAxIaL0REqrYl0aY2Y6ZQ2ttsSPE0fFuPU
V5U4aotf14l86kgkVYdK8xR2uY49ixRrnTjrWORaayLhGiOAi6CV6XVK+rVJDLZNHDbj++KyypSL
SiRlyxWZ2ZFIz6ZsU9ezqt7qIlk76Z2lTdQ2UHxnR6I8TXh6rSZx3LJYyME1e0QR7ZuivYQluGxT
eU1skFeIRG/FiO4dnYzvnEoE0giCCIcA8DlCWVVND3RuPYLWP+vYL7aZ1l/3nPhchRBxXnlcjcSK
9xb54vjqGLor02Usssd9QsgdkUbea/UzuYw0LWpFpW9JwRNKmbWqLPSrqylvACvMniEKJBp85THo
JWtXivJpfKmkrJeqSisRDYAD+creMux6QwPoZXk1/g2hF50MDZ+dXz86Otlt+pRT/5S8BL1hetCb
epiaRWdwie3AJ2IjnO+0slBcXWVCo5XWjV2Z+1aZvqVhlSyVxLhOfY7M5tyv5gxMVsg8wyE8JjFJ
wgU99jWeS4dmv/WVaS9EFnibiKTJuCiU5qqtCi5xfeFThSyteih3hVVjyWN6USX6isRUgaqyOxfn
MD8xghrPh2DyYsX/npb+ZUo4FIbkVqZZ3cFm7hiM+3O6r7CcrGbZrDZBN2NO72lB5bshVtH7+upj
XNJaNfGJH0Jdki80tCffZNlPbgtZLzdpb09MT9IQsPN/dqcfuxOTxo92J/epfn6qn36zQfHDf21Q
oJI58OjCKuX8qej/e4OS/yD6W2bfMnDponv/qT4z/lBwaTicy0RGAc3PnxuU9gdpB9hthdIVdf6/
5sB6q1hge3LQ86pMay2VXilGsLfbkxYSCd9OmX4Ms89zcxzHx1eX5TeHMnbM8w2QdG6UueCjbU5l
hnWmwej8RidEbeyO3WysmKN9R390TH1cqHX7nUUBpm1N1pqOtVWR8i39kU1dxavOIvnIlExsL4SP
5hYN1Ua+jbvQ05vyq0Smpas6B+YN2EPbZHDnMD0pvWIkRBS0lXYKQDyDtwQ1EnAR6TPi+QUvOc0N
1FpjO5K3zYyLJ0XLQpO4gojMHT1Kv1Zq6kOnVEjAw8CEXC6QHmKqRmSs+pcuHDOvVayAEUpY7RWH
5ylQ7JNVWtIqtesHLAvaSlGBtJS6PrAUQjnQ1KL1lJppEdG1+76OPjN8PhiqunScjKNEQH8yzYsN
Lat5WfvVrW+ka22OLmy8lZTK+WdJxuSv6OP3LJFA2Tg4KYmc85ALLwl1u7FQPElyudUqnLCytAEk
u2tLGXVsN12Nib2DqYfcjWhNpaVFZFlPvtKDWLDiTeBIwCiipxa+lNtYOuZpe5MG8UmC2kAeNEA9
9bFJgp3TWRtI7Ac9J72sVvuLlNRwM9NWdVltiEm33EJ3PsXR3G7mJL2sfRREzRzu20h+ZNCI6kyK
d7pEvFRKSrU6a4wGZ/0m0nLSVJoxXHV2tJ1SahcjNgxgi8C3qqih8Zt87nQHczjkexnMfpS3pBwG
+W7E6OTo/b1eaAuiN4+0Sh85Ap6SSL8OM/R9nZ8hcu4vwqHeFtOwDTBgE7HI6cwZWBGHQ6imN8TU
YGaJ03tMqp8U37rHfuUVtbmzZ8OTxvqzqbfklLbOWtKaR+jESxD0IzjA+Stk0hUgyAXUy6WWjIdy
QAPXVQGd4gkSZGs3Kju87wam9ZmnwAOb9hj4Imm8aWNPolFhldX3qYg3NvBFXSs/d7X8KEnE51kk
1yZ+zNCY/qORPs+JfwUyZHbDKTgkcZ2sMc8lWBGt2xAjIJPWECgovEE5y54dBROMVIaMYWfLuLDH
Jt9FkcmmUbJrGOZN7OgP0HsCT1JrrDGleHri4UZWyEDrSpvR41AtjQromqQY16NN7GM3demewAFB
GtWalZOWvQuExl8NjXkMWpUwPcP8xECGhL/Kt58BBfWrEBR8wfzVBI+d1b3fwFWUGNjHUR8dxzoy
DxWH4CUjXs5eSRksakkEaKZFuNRDKq20k5iUzDjX89ZPrgvICmjDO3mPNB3Q+qSi5qz3LQPVUi+b
bd4x1lc0wR5Tq2ZDDz1eBVF3MJWAI2JS5mtlNggumR3QKyoHOj0tVwX7tepmUXqyUhk6Uio1V3PP
J/b98osxT59qX3uykmrD+oYIXckWjiJJyymVDj7zeDG1N9zENJCGp0V2Uxg4JGGc+ul9l+TXQ0/W
vaqaJz2yXVaWRR3rSwy33bIo871VWSyICm/aGq7yTgsWJaoH1qhdUPmbVKtWMRHy5dwe0lhah0Z4
QXjtPZBrhrdCkOmnlGwJ7D4yKpuoXQy2byJ5lJny65H1XA5MeCE9NRSa1ZDdJko2eD1RpxoG7YWG
t3tBvnLCQDeqL2Y7OWpquQGqdqVURB6nQK/HDNn8PIAaUKytqvgdQXxoO9OJaFGpvM3UbMFYpkuX
Td2Fq2lgEMSa0+0G2Sw+53orsf5K3ynDyIPpIOzxcvjHS1M/FRp1zmJKrH7Tx2G/zhFprFn6OWdU
vILapbc5UTRLupPOroMftyNnBoyCYVJka/YWPxWgh8K6NaqCQT/ZhDN086ZaTroPOSCpbk1/urUZ
6DzMfh4xWSHRw+gCxbWIum0nBsClTAY17KFigb+CTM7e6B7qCKTdaE/RvEijIWRXwhOso6JwkwFI
hp3VyykrHpmcEQuDasCagJYWJzK+d0k13clANPoI3EVRhnddqt7aXeXsx2nst4UU18vCTyd6bYww
Sll+FNPGpTbq1UNnliSsFoC+k5Ab3YI/7pJ3/qCOTnvjq8bo2R2OpxhPxwc9zLenUw7AGL9NhVKD
gzA2cdEzftPBzDIOr0GcH1uOlxjztwYtvqFuvPergHPh9p+vQ2OWdqPGY39eBLSWwNeH+TFL0wuI
0HesSpc2ExCWy9odJkeEoqabfiy91E42jRoCasQKreZ7VqoDClxmH8kVrOFrk1mFFnaLDhZZHvjf
is6kc8ojoM/20ZQDyrW/67rfFDC/vULMTS1FZy6Nif7tFTKyrohaJ8mPA4bdYLqV42wRFh9ogc9A
dS+NCEfXaLAxzQb+a519D02XlFOWdP2xDIhLABq91ZCKk5NesW/0PdZkqX+QyrS4yh3uQUfeDjYQ
oGIiOsLX5Ks5zujyzd0V6njnJmdX6oqehqdCm41J6cKAQEyQbHCMpGhH+5lrrvLcmNmArFoci0GC
PCVtSpxPEK1n0A9+o5irMI049LfaFwm/IRTOjpFXZQK1dJRFUZEJH8JCYSuitAnNLdDJb5FuPdH3
QwgC92i00gtyu/HQWJO0kZUhvgDXmLnzCKYFfXpEhDpjACUKPvmdkt1Wg8H+oQQHIyOVuTHLdmMq
w6ov2OJw5iMAt5JVKasneIPw/2carIqWHnz5qdO9zrC2rIuPtgR8xRqUzRTrj6lWh6ucibRbmlAt
JXk565QeI48ZeCYUe6OUbeo2M+htjju07k9JpIZf6KivOWplSysNL9QC7bnWVB45wAxa1fE6I+cB
wA0dV3Me95XVfKDERqn1pmj+cT+IthS3gxBACubs6+cSQGmR82/tkfnMk+Y0KITKPj2aTPFc1tPP
QYP4l6PoQjFHcipeGH3pBVcFpFmYWBuwmxeEQbnDrF4Yhf2g6XnoNZlReV0n61uUtx1kEcDPPdHv
K7nQsw3WKaI5lEikToMrJxj5mox4RgYGibEZU0Aymwt2A4RHLYLKvKw8M5uR1ZpPKDAgmCqFRZiz
emeqRJDAYAWUrizNgkFvbUgJaiHzIWZWMPjqV9NCtFwOLANOujHz8ZbB88Ei9KMqtBvm1twhJVZ1
9cbo+4skDm+qyLjOLChEU/tgJzRgqBvllVmR0IxuYsV0iSaHwXlfi6WlzFhjqZjSk8Q9sSgd7VHR
pAclJOWlahH/hxZhWLNEItdYrBS9XsugbZ28h6aKhC7sl3qCZsi2h70FgG9QegT5qeDwtLeaMMHa
47bByKwN8pcK0G1umSuAfigU82VCPhLBRQcrN72hIHLeiuJFhIBDdaKrpJSSLaGFq6KZVmZK4FIp
0A9mwLmEh7GXnKuhar/TKvABDAkyE+KEtksWJjlmKmZGMB8Hs9HWkYYDwlaCbKUHMxN0KlRaXAcJ
nlyiDPcFgolAii7J4naDkLzbRNpn7OLhEGxsJX3sy8arAjd3tjrjJoVdM/UHkq4Jya6zctlJFfEh
ibSOB3s/xzgNHRzUgxIINiyL7qwqdCtsFyjbJfjdTZC3+2CoDrkgQbVtKhGeLawYqbXTg2FfqgRJ
GQVqBa3EiDIQPRqWDGcaTgmpCdEmWzH5ge0/XJrGykqII7OP2eiZk1cgYbT6e0YIqMbkCyS+Ncge
/RCHA/Hdvu/vO7W3Fg390IUV+znwTQBp1A2bYmqb5WRam7qnCrEK+m8WTujer5UPtrYPntQXl8fr
GWDoTLFTJh0zPiZezUWGUmakiecPp6S+gDD8o+Hyjx1lDv6vp5yiZQ3f7u+VQTvbSdUQ42qesTIU
xTeCw/rxmlS+PHhA7vnBxif2nJ/S6x9rkEjtJYXYtpAOn3Wuh4bwLtLsR0LJpmBVRkRJ02kSbMhi
Gxa4Y5Kx35cllN+CNvqFXdmGa8YFVtUYWczA710QsPwd5NnVmGu2i+z6kxQVp0K2blLKN049i7ZR
b8aAtOq8DTxgkJ/zWL+XwrS8DrqkXxngz9eZ0e2NWHYpLFYTMMoFJd46bzXrHgPfTUkSPJ2UXaeB
SNRUnLbT1iid05AE+5pt2yIZPVHRpTChlUJ7MZbKfUYaUpT6W8CnaF5BNbdG9jTLEwqcIXisRqcm
2trHwdtowQdX9W2/5deLKpRmr24XWog59Fh7PNrj53B+nuwPAmo/+v1nG4cspdTIQTIRjXFDXCBg
hbsPbov37wrz7P7D4pLIiRpMR0O9BNPlcpnkcPrAuPNWb/fXVbLxkiumIjwIb6/SaDVD2Oh8Ckdd
qO2XdsioSe6i0frg23jJ6/15j7+0vzSoGQoPFFwNKtO3LzTFEc3XuVSPlDFf2NSWt6nnLwE+utHi
3s3d+y1h44fn62gRfhpXT6QXP/NENxtt+/5VVUWf7ecb+XXDPysAnT5ySidgGWm9fikv5NV4062z
K2JKVgKQ7ilrrrOnLIAEueEKCVG/0o/5l/ffhdBZ/vIuXj/yYvF5dXemfpPaTKKm48O4VVf07D3n
0nIRVLjhcn1vLA7mMls7x9AbN/mNsbnFPb8eN6x77rwugN8uaZ0tnaV06Db5ujmFjJXdYPkJ5NFR
XkxrY+tsi/2wqe8y7+b9t36uxXhZF1+/9bMLKKlNlJZSxH3pFm7pNd9Kr7xVlpBNlyQkLaNV7mW7
Yn355bDqtsaCA3u8Qyy9i4/Bgs1nBWf+q7/49P67enFZnn+tr97VOac8QkRcWybvKtw6briYN9na
v80Z/KOgdk2XmccCA8PaPlYb9TONtNX7ry9u319f/udzdLbasNQgtCun8SjPxcoahv0sJce+k/+c
AvzjpiRWlfde52zVsWHT9v2cTkdqarcfvsjjZoCkqK0qGWN96b3/qX6/xv39qc4Pk1LG4m9UcXcM
rYST33UZXP2fvcDZmU8bicMzMw5QibFXY/qAzkdapQ++mBfb06sHTcpKO7eYvx6L8gh3wCtVklXs
D0qFj67T2eLWKGkT91bcHkfxrczpwhn/9ahvxJb6z6/i7AbrihmyQpNNx6EfF5F5JIdpgULp/a/j
g7vLOluVTD+QJppz7AajudAdBnFpe9K0bmEx14sHlblv9MGl++33Q64kxjhbk4nreLsQAs3T/DJq
u6Oefa9jL9GIlTTX73+s3349r17j7KFJSZGQqlAfj0Td0L+/yrIPugofvcDZkjgn2ajFRdUfZRZt
mtGJln5wmV72x/cefLGhvLqPQ+TgBHVxH3M2cFH07vpNcsERAcfyIlwFp87NfuAu/nGpEdKMd9ca
8alfvSRwJE1p1ZA96oHGcM6qehHw2u7wpBzmbe9eEmDCP7jGKlsw8b2S3Ot2JXb1y8fqUttxaier
dzW17iZfhOuP3t5vN/JXT4R5fudE9SArPg+dchIbOQmj61Tf5srCTdb68j53d4SC7L/LzxzO6rtp
j1Xmg9VLFcvTe1/K2ffeS40ZVs5ELbHsl/Nyml1E+s4+XV47R/MAA3b5qHq+m9Ox9fC5re2F9MEK
/dFbsMRQ8NWXJI2dpOdD2R4JK3LHJZ3N+KvhERyy776Nm3KVHay1tJa+B4/aYlwnJ8KLvr3/dL0c
vN65CtbZfZL0WqY3ObcmdgevchU3ElXdNlnc9ttxu0Uk485HkoXvZZz1mVeurUtiF5bdKtwSavY5
XXzwfkRh/Mv7+fm4G2eXxJYcZkM5S0q10tfm2gRZ7M3efIj2ivsFyYpH8Oq23NDUO4wL624FT4Gv
qF0n3k20FEXCn8XBv9sa/f+fG0kEivzd4hX+6z+908JU9V///fDUNN/yX2f24qdezewFrcrEyq/q
6gsW5u+ZvfIHecikO/7JjOHh+1NUpit/QOmmRYxXCXYqaJifM3sHlbVl8hst/hEV9L9E8FYMsa3+
vJc4tiDJVjmRM/5AJQlG8O3jhZ93lMrCHE5Q3BprFfY+CUSd5UzLYIpI/VP9fTsnjKInmsfJJ6VT
6Hyy1UXttpw5sI89SbSHH/7VGPzlvGK+kcNcG3LNNL6MaKn/F3tntt22kXbtK4IXUEBhOPwJjiIp
UpI1+QRLHoR5HgrA1f8PnDgdu5P+Vs7TJ+kVRzIlglXvsPezcxaDTTBvwLLG0yocGyjERui9e3pu
dBh+27bZsjRHGRpMgOTWWVUqRqzQnbR5U9uhmFmbpgqZ1Mwkm/FLH47GJhdhM28sx8jpHF18moy3
jF2vY6fZYfm05GNmaJFNEEhziIVRiVXBAnZfacO0H82px5dquuM2TFxGDGGYQCZcAGP7KB0BkAZu
9jkOCnvthcqAH1pNw0bLGuBU6G9WZFUC3M5JqRhkIz/jY47YrufmrtMnjRySOrR2corebaWB9Szc
d6xA5DHkjNmcij8j4Im96gAFBRinOkZh1R5dY2CSHecCtR0jtazRis+6Q1kqWLU36xxMKBICTWce
jiCaNC59j/OELXagijeDnFgigcvwpmq07Ir6N8L2a3jYjotvqcOy0sxMJi/RYO1QbsUbvS3sVRo6
TGdln11Tvcd/6THOrdiV5HWtNi4iZsJqzG9Rq5V72WC66QfSO+Gu1KBoSRzRbe0zvthwb89ZDxYG
C3hEtJajGKpUgpg9J08GXEgNGVoZbpVdWebtjSd1oLdalJx5zYSxlHYJGBoWbZ/oa6xL1ko6arrz
vIBYYq/MmchGNGIqTzdmg0le9UzfirnhZbrmS1akpOfVyWKkJiMLhzkrMyebGCwP9aovzWSJJanv
wqk2VmOoujsHQzCcd6PGNjxNKfNXkW1n3Rs3pIqphdhVbUbD6RFGICgLxiLdG1kTodhLfkf7/Hts
WhRvf39sPkRvbff238fm8lU/jk2AEaZBIhdsEKl7nHd/cqCYH9j+Ox7JBr8fgD8fm8hwF0EuVpTF
nPK7FtfSAXexdPtNAvVPYRLyl5KAY5Nger4LmmAJuwJj6M/Hplj+8iqrs6uOUnMlLVYZhqWeBscO
8W1plyrCE9GivEkzgddscvf1FFbIKLDbD6PLqjE+M5z9iLg988nyhG9setWqDdGquubezXqSWoJN
Php7pfhnztpDIR1icvnays4n6pMpOGKXdqzfIic5T13/zUmijQJP0GnoNyajQuhpfYEPuwsnIkjM
tiS3Js77fVI1+8bzjm0Sbkp8+LNINgDgycWUw8kGbuRgclGCzejUWDHAJfGWAfsSuv4C90FunSDo
/QoV1K5hyefDc2Rvbrc3sCyGrRtURE5qe89MNmmUPBCjWwHvN1m+4S8rDItUPbfaKnvJ7OTFHfHJ
Ii5wFaqSwihWKDovnpl95QCpdpNgORWHKVmtU/CxyUqEjf241gulsbNKzqlFCmAMnG9TDFXmE5QF
32ksJ5Ye7oY8+JtIdsU6VNljJxsNgl6x7t3yLmqwzxfgusG4AgeQ3dkrxMc66neiG+9wtmibftam
1ZQr3N3uu6GReKWJ4m6MkONYrveaJMY98xCUmAG7qj4zc3+yzY9zHr+mRb1WGQrW2MWcYcbxCa8y
Jkv9nWBde4+CylqLuJ82EbY5TAnmHbj05yjh9YcTs6MZYadvV9a+t8tqVRWmtclb2CMJxrk2wy7Y
rKwYJcbUGTZ6a/4eHezWFHgFGu7ohXSKe/yHo19y9q9mPLsYaNNVXXQciixo1yrh64jC8dZGnlq7
vOwvZek+SyPgfW/7VWqMNZdb9Wr08alL4lMTe/FBQ5xGuCGLVkuwGvTaSfikQJA12lW7wCxvwUGe
2K05B3QvSMTa+FZPytc6qeNtnS25sHGzHskMshUvlO0KY9Js2NeGfhWi9SupFoojBMqwP7RF9dhr
w65si3NUllvLHklhzWNSOdrBI5JGwQvOkIK4+vAy1/G3dgDBkow7FVfTOilqbML2oqXgp5qca4np
yE+94cFNs22n39QU68M50OLtpHtouYqLIYurGBDKyPmi9TaW6GnYiUUs3/cN++9oXosZ1YmNopsH
NA58W4sCQjQIZir4pmxRKh9NUc4GDftJrg/vlBHpesxNdDmLB8RM288j6AFVuhBKxh4VR00WG8mU
O6OQh8hADjYHVt6sBAahlVt4KMO0EYH+aAY+Ky+19TQXixF1TDhGJFMHaQJVwvray46NdZR+Lc3h
pZ77L7OjEvaCrK5DU10pdHA9xVjDp87umHeIAQljX4jmKMKsO3L2IFR3K8gsYw3Go8i7gyywzWzN
vrLl4/C9oIoIUdn1FjwP1nMFN6kzUny53wsxt9AoyuoBVegens9EsWYSwnGrFTh2H34r8pTXaOax
H3tmtriso5dmtsRwSbtqX4bI3asEv1JppdY2hhe/qvX5DX/xfRuYWNrT8cayin7baA0cFc0+SmeM
15LIQARD9hfc4y32J5tossR6STUbMdJiMDb02b4xSx7mtMD5yn9OuyzLT1VgvUVJI9adi9oR8dI7
OBOEUNESKFUosdL1pdTqkINO6XieqnY9xh6Tm0o7W0VzpwX9MXfLT0Os3mccSWqENdEaoKnDSmZ+
a443EYsjXeUEwVVvcUogJkXaqhOS4FSokmw2kciJ5DZovZOWTK9ZJN5nQ+e7hPI9HXJgFvFam2/E
NJIoJZtNEDb36bhkQkdU3ON6zI5Z5Jz1NEPzNpZvLB4OkWk2/qgx16rjuVjxMN7azpJkJz28F5p2
R/ilWCtHztjO+jM7Kjx6Y+DzW6j2TlFjHCv1bmdaA2c7OTKsah2CwsEXFYH2sUvXswyfRQM/1kUm
Bp8ImY+beoq/HPLHEgmGdZ2aiiSgtQmLiN0rxrp8rNSGGvcE6QARjguLJTScS6yKc5855OhUwcUr
gEjmLWr07s321LSh1H2Y8HqgmcePEnhcIDLpH4O+b9e9Kp6BRNwkWspr7OcXdFEIeXvb4hkgGASC
sOY3Zfet9bxHDuitXkErzKOOiAFzzxDrkcTynRY7o48I8YCD5TpA0PFk+TnmokNAp99aendEwRP4
xPYFoKCMhnjq5hDSOnDqqnAlJHSUKE0PnpzYRoaFn7ii3rUyVn5stQhH+yuVyLYQ3dOQA41Jiacn
m4IHsLfGTaqTgktOEzz+NGB6EfKnDuaMtZ2iX9M0Y2fjwTx0/EJ9QMQXvWqTlet0N32B+aW2vRui
7B4R+uobNJ/nlCNrq8VzuCP44JiREORPSx288AyOoSGuttFh8G+RWnSFnh9mQRnPzpvUNLMO/MQx
2d7H16hPMLqWaDkLXIQcchxwUu3nXPCRkO5VANRFKgDdxS7HL8Adnxmdk3HjfEEIQ6Onb6vWfinT
8IV0GHvdEYkQ5NWLXrp702oeFDZDJBW+KabU17PoKBr1FoIu7h3xzUthIffxHXnVsGE6/aGwlkNc
k+CUqL2/V5v/lt3LbPl/lN0lvpm/Krv5qj/KbvHBtFjQE6QiIaQswQB/TCtMINsm3riF+/q9gP5R
dhPkAsqbqodm24Kg+WeHARkvDor9BUuLo063/1EKNbfFT9OKxSaN84HKHwQtQBaMBj+X3WlRoTHW
E/0iTEkuhVwiKmCt9F+apN8MVjpSuATpHmIqH0nDewo6muqAam8tpfO5y7MHJ1feCh/Duu86+sUq
/ow0+NAO9SnVyKJuZJPgrxpIyRs6hvXGJ+WM4a4Vqj3SFh/qAd7RHF/MTjvkRMIA+lkZTYudM0Cb
MkycQE7r7ouYYEelrR2TACZll36pzVfAWMEiBr0XZgc8zdEgixcw3TQDlaf2UYtiQtsHcI9Eo21D
BLhZ8pLF0ycVgk9KZHLfNmgXmrr1iXk+5nqNV4/QqaksxVmvrEsEPmulGyDC8YkPRX902+Br5alj
DHRRUFreWSPsprAIzgh9GDYIECqN3GAANt4wzy3JZe56bpunWOhfmQ1EKwgStW9n2ePoaFQaULVL
MrXS1D1PWRhtDH6GQE/P8Vy9tQm62CFI442aOoSNopa7QgYY6Ki1Gzd/JHLngrrqU253JcEM4jS6
9a6zUthkgGmQjxlbl7DQOpCXVCDRk2re98pg2ztjB7C9ba/kmQS2nd65gM7c5K7I8f0OxXhy2/mk
WhepSFC9xBHpmYOoE+qz9KluJ2eVpt2LnNWRFLlm1bX5e+k2Z2GYIemL+PUiK0I1YqNA71FGdWLf
BjjH2zr8KLKGpPIIVrlD5qSy+2pDCMPXInQewmDa9akaN3mZ30yl+O5W/zZa1XG2C+z53TP/bl+U
CCStwQW7IvAgREl3pW/JTt6Yf4THYqQZRQInKm3sOjKDiCutfSdndZ84zc4mzMbv+ibc8h+ejb7e
VCUqaT0lmpLR/IMxNLtEpq/WZOy8kHyEypU0dY7ndyWKsaLIwRJH0xbG2tbq2NqR+bOZIpThCEhd
P52bc+Vl6GHzRaEymTsRlsdUWtvMw9Sdes2dlaqbJEJdEzVMv6Gh499mHihZxbqxM33pyc59jlii
Eijh5e7KLgvnXlRswsKV2+TanV559T0KPs55Y4xBD+rblKkc2sfgPQ3Hb4H0dESw9MB67dw4xfjU
2s3nLu3rVVWWd8Th7LQovTMwf7ou4eZ0+OtqJNnCdAai7vRm6yJgQrpp8cNVGxwpGm1xskemZW2i
wFLkiDmzzxwKDD0plx28Q9Oe3kZbrOtx/EQy5kb3pkfeaGREiXaYYu1U1NEuSrVDgT3GBiwTJhnW
gmCf4PtJ3SJcjS6pF9Z8Y1bds1E360iiURQozYbcxcUXo0CM65TKVSyBv4yx4MVUOW/IU0d++TT2
Wwz8/pD3B+DOxAcWDmLwdh3F3kueIJNrm+g0kJuyprnxtmNug1ZLi71HEBV925dWWXwIEL2PDqRF
cpeA1Z2R+B1UY0IaFjq1vVK8t7hfNMhRbfOlb4YLbsp1m1gf9TikNJ2a05w6NjYdQj5TPoU6XXzN
zHBLtNqD7INvaPd5Oof80BHtAQdx2IOGGn2thpBg5tdAn4FgQj1LYozBLvHykdWflVMcR41lWp5m
EHxcdLP9Csf/HqsqcxB95zn9lXbkWRfVIbAQ54GW3qRJxvk3FhCx7PLeRJDtx3NzsfRwNYXJfuHH
VfFwG9jzR8p9/A/dXSD6m6YeVnaNbX9kXj3PYmvbzcbUjAMtwbBuy2LmFDa3nuyOejFv3cIafA/7
Yl3pn1Go4PoQ/ScTbKOvcJ0dcGNdjYUdGIZ3xuyePJdw5XmmUbRndaPbKXl0uELxlySbXIsXvqTs
d7AQr3Citmk2XYXnvptipiGsoCV2m7ZxNVoa8mAUiQ5TV107x30cY0w2uQQIOebS24yJyF5SM2Dk
Xg3vSdsfo1F/yvrikBCzHHktGddNfN/PgrlB8y5DrAK9Ud1GI9uoZH5MDYEim+E8J/CmLeRdowWY
yXTvVbOb57Eej5DJmS31uYNH1fU7g+ILbl80LtSt8Gh1Hce4NR2CGm8qE4l6WnBRbfo0ZJrCxspc
ZqvNnfLd0d1kenxgKpMgus3nNQHkXy3keOtpKEfMG8abN88Xo8HORbkQrkMUnrSK4J5Mkqk7oq68
jrVu7HBcQhFZ46p+LhNxLQl6ZhamVkNJjHLUfpE0KwA8bhxturQ2uQ6C86vB7wJuoXgcJ+2pGsuP
WUwuA5uGdQXxCGyKugwpWRTo9yFLQD/K+qS/axhibCRzur1V6KRyEdlL1qFBUOn/sVAW/7VMIRQA
Jg48LDhyOsPqn8uTtgaqMxE+czEe8tWL3A7X2sdN4ntvH+/bc3kTb0q/28cnJtvraF9uoxsJgvMc
/SYH+LfAXUA8/6PA7d4gfmVvffsXs2W+8o8iV/9AGesgphI/0q/+KHKNDxZ/RDErzSVH5j8ruSWt
0MFPwQqIeSSII/7o99myCd2IqtlebBc2FlWG1b9wHf4X54HYmp+KXGbLLkxzXoLL0wJ9Sf9lJae5
mpk2Y1Zeemq2+UyolUxuDUtPxKajhL1ytwydn2fyVlb1tSfSzQoJvW1E/hFuIDF2Rn6qRfMK3eUm
a4v7OI/XnSZKFO3B2ZXyzCcn9QtH7UJzCEGzp6dIV89zUnwD6QsPbxAtAd12eSfDeWvk0IEifAs9
dgDi4jHYZV1y7nosWYzh1405FMZnAP6sAlWYbTGhusaBrqCJb0Rqd+EuNTQ8VTqJuECAKjNBrKYx
PV8t3icndvJd7ZDnneHo+mgGHTCDIFdJj6U1jKxTk8Tta6ICBres4cV26IdkpihKjg4rrMRHpNoy
YWgkea/f8blcpgNrw+9Y3VwuiN0M2G5PkM9KZcWzs3B4yQgmtmUh84LorQKiexwFtTdx4feafXkm
trH2RdtZK2q/TT0HKCWZq5fB8CjAAGvNfOjAAg8MMIpBHTBprolQP41KAjq3id4FKNxkgglx/FZp
5RGusLYqu/6MOh0mKDBid6nCGs+4H3rtYIMrBgd064IvhvK3yjW1N+KOejPfh2COQw+3E9jjvmw+
62CQPciuAiwyM01KD2cfGOHFjvAW1Fn1kAFSdoqYLaq+U7K9bzrmMaM6EMfznHPfw85889wWFxxk
Zjc3BQD798IgyR50swnCmRElXCUwwGV7DkA8e2n32oB8dnp3XYGAxhJ0O5f5xQUNjd/ntoCL1YKM
nuE8DiCkrby45b1kpsfMEsR0EpS3Lcjp2ZRbmq4bOpldZeufhEy2rJHPldl9DksclstbHzrsRBrD
j3Nj5wK3xjHRrXpw172I1lOd3Da2gMtNTuWsPUrw2FmyvMPYb0D8HVq8BCgIVx5AbY8Q56HInmlj
Hks9uu8AbweVPJmAuAVAbj2Be2dPxkmB6h54ETD6jHUKxDsA5s3qx28iSNBAvrWYGxTod9mCQnGn
5lvjCKTy432z8MGDcJB34Il2sa1ghwcWIUIivzQZThBqIBDjsSjJGiPZElbKWF90W56UwSPVs2/N
QGD4ta1Ibmy9r1OIvnLMgTaYVJDh3Vh39nqs4vWQZc4aq8anLpl4/Ewb8F+wo5ubtpoZfGI2fVbe
GG3dvP9IRhI1kEnXY3UAhssZIDSN8woRi+NrEWPNatAKyMPGGRjivdXQdsK3YpI/8o4PiXdNKm3X
WjnK4KTcV1TCRNo5yZbi8Nwl/Y6Vry8pjXX6pQ1PB++WwH3i9e21hr7lF1Z7FCadeTS1kKXiCwag
k1lrO4MlUG7Xt5WAmqnq/Etl5bwZswZqqVXrJJj4ZXX2nczcQ9kl5ropE/BiKbEmwTx2jPh7v9Qh
i4gIimQSVyfctiwsKF9yUb50joWxS+SDr+Xzbb8wsNP4q23SCWqu2AcV5stxCf0ukuHeLsRT59k3
EDv3rtZnW8DrFesUdUZ4M60GixMg1/DqeFXRr0Ud9Cu2C/U26adTCZBmZZvxJU3rx8HuoYdH48fQ
ljzvwAQKDf67m16CjF8NsAD86U3ySCFd+GSOE5olNXWa8a0eI0lN+e9w6ztFw+DC/fu7/0BU9n/f
+svX/Lj1DfnBXi5pRlE/MBg/bn3D/eB4OuyG3yOK0Xf9h+5k2ZYnHBuzKT3xEnj049aXHzC8Yqqz
YF78Viv8g1vf+K7f/rMQh1AEQpt4DQy3TFMuwQp/1rmZOFVwlzsdwlc72pZlFlNc54Sw3k2/xSzG
v4UuWtGgE8GIPUxtJMMKYwP2ZyrwskwxjxRhb/V0wW+FOZQIeIU+ZWWM2NtAE2WRuTOcIs8A1lhZ
3N4hsUkGQs4Dryw4RCDEXJ2+95pi7ejVYB1HKVWLXY9dVfvmzF0zz/RygdPq/jg2cGpgREXMINrK
O0e1HrFMQyJTK2U91hBKyVnMVnVfpjhq0yRfG7UajjGDpq1wY/w0WdrfG3aqPuuFlNUB+3b4ebCa
cZu1en6K7bTcZFYZ3CYaM4lBS6K9bbGzXLlgp+4MRwSHti/h+VPK3BrJ0IG8qN5LUOJgx4Vo3tyY
lWHWWYIIgkCSFyeT7qPg4CFyrZBf3DnzdkOUqVNILGfAQbnLNMu8RxCUASMK4V6BELeYeVMUSZqk
A4otxiD6IuPtk3ZrVUZFX9XmHAdApD+ThknYDn0xy6ele/e8SHwy52q+RjPV1SoVvficwpA9ElYQ
HqY0aV9M2Zp404W4Frg21jMn+KXv0y/8SosDC0bjwWhjPfMTXXfPUGE95DFldIvFl+ZqkvGtjNt2
53lZwzDQc2+ZGEjwGgXk4SnnCDbD6Qv70+wkVdA+9Wx7ty1dnt9qsYBYYiy6oYj50OQBSGbza98Z
aUnPWsv2asbfZVV6eYQqPcDIS2/YLs8bPO/utpbT+K4sShG3ysObsQTqCnHD0aiebJ2gxDZjWjix
MMV4CJ9hcotdFfYGMRE8RSPIlhH/nxfcoHSyn3pPe+aWFidBnsGFlx9stTS3zqhzrC35sPplmqPx
JnNVcghjDJYl2dln+C3TfdS4aj20qt5McT8CrZ6DbVu3bbj+92T9frJKDrW/P1mfSIvp/4pMtHzZ
H4er+wGFo4ABoBso3Zfwuz8OV++DxGeIcQ5xIZsDup0fh6v1wdMNHOrIDr+vB/6kcjQ/QKsQtgOw
yDG+s/j+weH6swSfhoqmbAHZAac1mCdav6iYR5182aYp+tuZ1dMSXY3nGXVGvvrT7+X621n9Z2os
SNtfOzfYB4JLwljc/Qgqf+n/DTh5tZ1Y1a3eS+8Rro9m+zlqtHlPsydZVXRFbx3aNpgfEiYwmL4N
0lBcJ3ytyoT4NHQ6R8PJUX3Q0IzXaDLvzakcWAxOodMeBw4M89PAh9QFDFYPA+ZZ5ryDNcTMKbWM
rKgMNm1cVaXYlCrrcTJrIZgYONnFS5xO3mbZmOjrtvgiM0vdOlaVXayeFalvVMyvtmUwmn429Cst
W5hHTqxK86IPCwtpyJJL0wF4ySt8qZF3BaT/TQJQKupwGwBUcoAPFQCW5EJaEghIsOvETIGCrZcj
Y8gPwUR0iJnSjTInWmdT/R650T0Y1lsDllNvDg/ZYkRWVpO8OilgusXFdtacqiElRNo3WUweOpEa
GyZ9yPI1zXy3khZCW0AGRNHVaMGHgLDfTIMOpZbwN++2LSgsZ+EO65BAjl1XOI+Tob1gGq3XOKUZ
znddKBxIs9hIQ9BFG67neONay7foBLNQu3lsrI5EadstovsWqBxAKaPZeKNOtif7GX6LYJnAwpCU
YWkNAhQgCLXdQabVSND538+Y4EP2s16XAgbhG3F8Fh8OHuufy4R6auowhBZ8227yN3QwxgOk2xUj
TQZLBZ0g9rpwA61o02wwLtxYW3ND6ev/n8FeyxDiP+UKLkPMjujePFsuSzmCcH9+HRAcVE9iSnkb
iPAGuenop6BmGAparPmd1NvUQ7AQce2Gft7Vz6HTBDcG75Gdcv9ODhacQKdTFvOnbiy9bSsCeFhd
tQ3c+ZMjgXAkAVJa6v5nulpnJZp68p2WpmDE9g81Ee2GjMYNsrmdMtj2BeSbWIReztLbzya7bSF2
cDjI6emaJQGaTVFe7BPu85J19Ioop41S4UmAF2QAD9uRDINVniftmg/xrRoJOqjDZRZvho+hKvcs
vs/96Or0EtVOT3nQHK9GeaMnD//7Lf75EPndsYrEm/OS8ZTp/XKIeLNQXpUHza0+kIfIQZDxwxOV
qyHHltyyIHj+LzLJX1tN/vR3/vJuauPgNEMatrd1aL6ShOuPbHZYBTp7K+/B09KthjaEJwdSr8xo
yaVVTKcZVg/RSvJUxu6LHrc1rnXtPUDFQ64isAv7Tg/mLzKsP+UKGERNgvu/ibXG9zt5aTT+/k5+
iL81f3UlL1/140omjU0nVRYgCMv533LVflzJiGsZMhK5hkuZINc/X8neB2fRtbomkzG6EI9v+KPf
8T7gQ4C7voB3FiuD90+mnEAJfzpAuJQtB5Yh30uCHqRy+MXEMptRHoky1i90ZcvIb042tvGpDL/q
ZK5J0pYauzjFLndRrDxxUhX/vhHOxTaKS19XWwBh91nff0JU6aO6H3dtGr0UjdzVEFPNwuWqqDmV
nVfDtkCTjd1mdtJjJ512uf5hjoX9YzUWHwkvRSjuUWLXtdGt9bh6DRKAp1Ic5cSex6jf5ghKaTK/
CEtjKDB2qEoLzv/EYYUa71to9KukmF/Yju1VlMY+0I8rqPLXJC8eZ7c8eUn9QgGUr1Ip3jUETNQg
TzC0gLr1ctt42nZ25mvsIRflJ9tVHnMOVJLQWDrSRwLEa06gDl3M2lxDbxQW1s6ptW3TDi4SVfep
VmiMq25yDjMeiJUKyPTQqb4Tpe1txYlhAArY99q0Ky3c2MbAXt++V1V/z6a+eczk9JZVIGXt2r0h
1OFZR17g6iUbU308h2klCfeCSiiTYt/RhnE49EfLag/kebOLC+TNZHxti+JTGPSPkysJkIBpuELS
C0MQzk1Wm+fMsb6ZDvxYKsXH7wEhSmcZp1EddG3Ilk8NNoTgaZ+00w5eyqYa4lPf8jsLw8xaK7aA
WELSpBua225kg7UJnKTcdTKW47Er8ZXMVqV3h9J1QwaJrAMN0eFkqUu9QYIZW2y+25aK4C0baoah
nRQdciuGbavRVJO1DJCgIWUoAcKIQ66yvHPe1xBlS/NLEXGDEHsi1qbFnSREyf9T+lrN7Rcgf5bv
pfX7Am5GhZusYWowgTXIhCKV5N6Zq+nomM6tFglWb6Lie+jIRrXoJRut18IdWQSPwwN02YiEK2Z9
Vi2/JlX7jvrvGy03sygnewpti0fBNIlUGadV2opjU2jxJlGdiYNjuI7ChJLjpXsral7dVHZbU7Oy
jQzc16ljR1ZZNqEpjvqK2ANiOSNxnhwkwCxUXF9nhnrOQu02fM2GdRGSFUJemkWCjMx5XgrGfel8
tItil5TV3WAiM0fe+lhZwFzsMtxlaGEJeofLrNvPwRJHL/k3rqGew7m+i4PMnyytRaHxSp9PBMvE
SFxznDle862Q7DjpWgPJD3QWda0W0bM3IztPxTueRPV9P5XhIY2iRVhxS8TYzVhU72xjGj8j9Uzf
1lPafPl+nP67QdM5Zv/+Xvl/WRUX3/57jrZ81Y97BQgtl4aJAw3fAznY5n9aveXKodPifyjave/q
sR+tHgFbPJ0knf8HoP7jXnE/mAusbKHGed53dO0/aPVo6n69V1xBS8kLdJfLzVj2dH+eo4UN8ufE
dLOLZtSvYdxBpOyzz8YkD5mBzChhPQxjcONIhDSDs50RAXkTBZ8LlC1YsubymPO8D1GROr3YhlLf
cgY8qHgQG9chbGoIp5PeBWtbQ54fG91T7IrKz4zsFMk68wet2Wdp+5bbMMV6w/oKQgp9u5aHhDuM
x9Edvqa9Uftuqk9rJoEbexoY0U1oFfRey9Zk2Y5r4aJEAmtNmPGk28h5imlblOgLJgk2NMyQUktm
3WH3Yo4de/di+lrq9o2B4BhZC8P+cGiBkYeoqCJozoXjXRHnPg/BHK4SN07JdiAQIXOYeyV2Evtz
iK48z0M+xwGqhm47OYSe1wvwUajxaY7CM/GZxwpvR8TPBC0uZk0lxL2K0/UQ0rWlhTgHhvgYkHaw
HbI+X1FgkOjQDh3pS5rLxNHc5+YU+4FbPdMMaz7DNERLvgQzHz50Iqk+6bV6mmZLHSGeXljJYHg2
wMoldfNpJI4zLtJdXik0K70sV1DEoYGYNANR4J6jUDyZdYtiP1YXqHf2Jk2hWws5h5vZYycUcs/u
tLK/N7Xoq8yCcgfXxzf6ND3CHevGtwoivFXZb+1kljv4qbusb8NNg8yhfPKMqHgAHFCl3+Jw/so2
6H429Q7wewXoK20i131riEgNeL4POirb/diJ8iKawLtYedDeMF6DNwAWSxHPyKEOXzXSQcGAob81
k5nNV1xiNsmk86xg5TpxHp3NsfxWz4PYI8pdqIa2Sx3y7zn3vX5ejqW/P+f8t+xt+Na8tX9x1PGF
P4665TzjIPNs2yIBkNnyT0edB4Ia2iWT/F+FApJRPlpXTsBFZ8AB9OOocz5wYoLa5uC0PTb2/1Ao
8N9HnemB/OZv0injvV/pJUVI0A48dpwuehbuK4j0UcgnrTHVsXeGyVe9aE/kK5Q7U5/NnTf2V6BY
s28W+eeGocW61dp9NkVy45kwVENlm4TNRrXfRyzsE8Lk1lHnAj2rF+SvGvNrHXrPkWS1NzQmdnt9
PrqBeWqktQQMyLXUol09Vc+BG5Y+VNgz/gE+JGU67EHe3YR5ghnDkjczye2EODhnW1iPoaxQiMXu
nUfsEtmc8V2nN2+CDhMOX4h+XoKMiyPYOkQeE08wn+3CeR6DFB2sab54Wflsgw/zUla5DjIymZ87
l8i1RkWPRUPnqhn5vghA8M3WfVEkWyPUXgUUwpDBVYfskPugOlVO+ULQxy1tCXIHSQjpKHFR2NZb
l7lMm0YctZrTbaAf45MbMxJim3Ep+Opp47oF6uMBdwAe0UujRmw0mA3KiDXnqPpbtUzUwlkZO5l2
28Su78cUHK9MmVtoYr6agf1FdNXHtJ+2yjUwpYTFdbTs7RTleJdZzbJyudq98xjVAS5ea3qxFwdY
rCQeCMOCNVyQCGLGxAAU+GzZ09w1Y+FsifG5GY3sWzT/f/bOYzlyo03XtzJx9phAwmNxNuUti55s
bhB0De8SHld/nqSmpVYf/ZrQXgtFKNRNVbEKQH7faxVz3RKoGMGto0zAwFT6l6R3DfLT3d3ohXf1
lRVRhM2Diaw+Z0qSJUjYJnZpFbDqeB23LGit2fZb2XnPkYN1rasLzMo0WnCuQm7k5Tt6wnKVtDzd
jFoQv4qsUQ8JyJh2MeUTCl15k9L8BET9HEo93IW1dRU64X7scTxP4B1rfEDWo2mn+gr3lsFpFC/L
oj4g5NhntjjbhLZLL0w3IovlehpHQr1Ch43h6zlc2F27HnrtJq6GD39OB+XbIDVRl/V2rgl/dtua
5PDaACmqdr5DN1FpAI+Sj+kR2e7tDC0kyFeOr6lv3cd6Ca2Qr3USHDnhIJGF/4TJyoTTbfu72hL1
OvZD7Bxuhy8koDlEzJ2gkJMQU9PObn3ENY4RUMEVR2hJHYQFjUAXSRIkuejcF27WrXHfiI2pkqMp
pdE3WmZmsNBzd5ywG4KAvZvhYN20QX6L2xvzj4OdvWr4XaJ2oBR87taNVWZM3jMuPu6UhJLzhRlV
14Frn6Jc11eVTiiMk/ABUpjRtuLQlDexxU4spXeNqDbYj055Naoyrr4dDr5RflB9SVXXlLzmVl4R
pNgwoI9auqIZgqJiG5sYS0q4imZta07LZH7BW/PRy1OSYKce1nEJVlcHXAZ9Hrzi6WfbnupzMLOc
FqZ2Ry3WrqD3ZDHV0aMWpp9pxy1jYClZVyqt1WcII9eITi3VnZVl9/QOf/dxZ1MWyHVnZu7WKotw
bY0ze1k1t1hw6uKkGaN9FkV+j8m1vhp7hJ4eyfRr158DIl57DZF+UC5DSWhVNPTnXqZ0TrqkfGd+
fBdJrmbbCimeylhwrIBvfAzY0dNpvqE91KGoBFixyXtSYSbt1mSJBy3gxopmgE865YdlkabBpp/a
ZFXWrbVTZq3eoqhz4v/VmfUN1QTHrGzu9EAnmj8uWVL7QwB+szZn1fTdfLV+V6OQz+mXrsn50jg1
qJ2633RPXxqoWMmhaiWM8r40Uv/OBL/NBKCa/3kmWH1m/3VVyvav1h9+8PeZABuMQC2ANZ2SC8sD
1vodVrP+m349Dn3rxyLzg+my6FOEn7UJ7WAPhuT/A1Yj6gOAy2VjUb1OYPv/yCGjsOE/UHnlhxcM
JbBpnk49o/VrNSLBq0mTzQVkcjnu9DQ+uWG6NPv/LesbO/ufXojfhO2OQcZnACJr2v519NDI77e9
KB2ubSQs+zbUPWttzx20L40BpRGmVNG6Gi0R5YX4oFOdVg+uQehz1bSUgOY8/VIpUiosbNTrJR4A
k96MhWZXagmTz0NTUVfsRaSAmFWwjJrsruIFl0aVXZd6jEgZidvCqw3CazVlyXFzgjZm71gj7fUT
Gh7otZ9paaIL3aTFGzfPhhSUdtWxBq0afEKVaz1pnnv2rY7yPmE+RxaIGYf+HQ+dWy0frzTNvqJz
oudAjMFOPH8vfWzxQQ6/4osHmneyhR72/cqIyLro+vbG1uYNBuAn35OfRui+hPn0TaqjN0X3B+FF
jq4Mjo6bxxvW4Z3jB1S7knu9NKV8KJ1wF3tWuMxAOsgReyvAEjEU6NXK6VmbsnKsVhqw/AJNRLER
7fwicrROs5VcLA8fBEnTPAzNVa16LlzxIJvwTOFvR6bqdOvW3db2jR2nrbZoOdZ4o/iMw5YCqciw
77QJDjBvCfJ3/Re/5dSD8epqrDtNZ6G4sDFbOyYRyE2y5bz77iFtJADEPpNiYu/1IueBVDpLAa9j
oCukkMhaDIihNqnIrussSjYkAGxnGP0wxPHQCmvr93y20QBSqDl2v6qoHCl6e+dP9DMU87Qy5+Yx
dsSM6RtoyWyzu2bo9lCR/Uqa+jspbnhJh+kxwzK8Hc35YtDIvGgiut3lLD9EZnwYQ2YsUzIUcC3t
iRYRy3QYtnlq3+Q4nchecU6uOeNJz4r3OameI5cc7Nwp7x2oVoA4N90Nnbl1XaoXKIfCP+DLNZcY
+hLqodYCa9NrkZQhTbeehiHDdmi6EDqyM3LkDRk2Owu79Ep3h43wBnR4tUTDkIGBGZNY6gFnjWV+
DLjQY1sQJM3osaDqt39MbZMlPcT9hLI/ZufvRhGv0sTYm5ydok+vWjVYefVr4MS3ItU+cedh8qdy
oeRqvEcydE8Ybrsc/WFVDqnYa7mds332J48UhZVGJYMdU6zYN328z7pw+OYkbrMew+ocxnqwbKpx
58FxRVZzqhJ2/LYhiKJVFQgciz7Na4l+ncjynDrcsmaRXmeGfcw0bT9nxJFFYRSt53HKN0mPBG+Y
QMgHtHxjJ26j1tmOGHTTmRho0r3w6lfPg1zn9+4+suQROd+OvOXXMdFfZhvGHgKdfIPsJbPu+qHZ
TdRCVDRjZhrwYCGXxoYhJ/ItCitJ5B5Ma9cbMI8iKhf40no6KpJ2o4uUz7O36JKgMnwsh1WgSZxZ
Q7XtIBSmcviG2LBZxJP1iDEQ9kBLrPq+TPDLeRboOVWsFPn8dMD8hWDg10xPnqKqlMPReQ4pTlfZ
LX/Gqkg+olFycqbrAW5zYW2Dw3hXnkGnF9pr8YS3Z28ug0VwxMHfrZLt/xYVq1i9P04L9RDn5QlX
MSklMGz6bv/88jLA0ac53Xzdu6ig9z4Jm/74olFj8/e/51+9jqEjlyBkyrH0L9nETxFufsuZFY/9
fC3iU0RWRZZ9+uF+IDPl71/nz6ffb78PnydnICnR9GSpffmn16mZ6u1ORPq1Yx+lA4DEnGc9/f1r
WOpD+fVD+/mX+eVFukjXGwNo6brfNI+Ygdb9Tv/wVjjCyjPatHBxK9dgYxtj93BFEffiqj/Hm8dm
HaxvksOw2FHaeGpX/MVVueGf9ePfvz/jF/r460u1DDJz0BAKIIpf3l/WzTMeJl1ck950Fdzoa/0s
nsKDwbKwxKazOHwT23F5VW+GHVH7+ZFsihtMYxvgwOXXW/kXRFdhx/95kLzvSuDNv4LR1c/9mCOB
0VW+kQvvp4RJv8DopAoJZkVDPRtUbOUfMLoFiu6hmnIoUBYGd8Af2BIR10DyPojUb+D7P4DRUXH8
epljPCG1DusB8iwirX/RmYjexr5JaehltqODKVCM9uSBjWmxmjnxNr1N4EISZGcUROnG5qGrI+2L
q/YSYWgosmTlDwZpP1xzpjgwzr2mnfWNUOhlWrTncRaYGqzdHClSTyunZYQGipbpG2IJ0rWT569M
4CS0RhP1IVlXLWdw4GM+ZQAOadQsvLwlBsKMWItK71SY+TXDKGZFJsnFjClZ+umbQ3qAGYjriBiK
SiIYh1d9poJBZbY4F8+ukXV3UK70HMQXsnY+nLIkyolwleUcuc4y7jk27ck7tS11IEF+b0LI4fo8
N5av3IP3w4QyK8nCbel0R8ee6VDtnQv9BIeszUJC4uwHk4KnuWxfBoLomp7gMYmWdjH43jWTBNr4
EqVuesXRuMFZESw7m2rQxM0oWJTak5+juCjnaqXbySmSM3pJuERIvnZP5TBxJ3TLbSLHzzda4r+M
bn5t993JIuDoqqpvIC02OW7syRUXuJdNZ463E9TvmJA9Z2LUM0W0RCv13FvBE0/tjdNRnuX3g70z
s/wtnqDHsekQuNkR1TMmV1PPR1en3Y0+BlAOqZM/1taeclGvXbQAfguzdvsrNoFNgA0buTEL8dT1
dxEsOv8eb2L8pKu2Lh473kZQz/MyjanOsIZya8fMgtKjCoZYkrrne0gSjQYN3ctW5YToZkIKF3uk
xwzBh1UDsMSOc2+Vzq2GzGGptc7Jz2EsOpu+mqgiOyKW0a2G/RzJr0X/OXb3sU7uvaB4R26wKoL8
hh7cD+aHx9DHXcr5DLrAL7WrAjFAxAaEZpZjuMQMtjEttKqxi3m/jAlYjrvV7Oc7e063cNi71DCz
NY1h5JYQ04S/qlpZDj573a2eSbxb+5iXoYb4tOusiZekO0HAjoI26YZxjx1E0FECleEIvzpTUftQ
z+ltUHXeEssXQqWYfIB49DwayYtukcnyqFPAfUIIjYu4eY4d92Rb9m3RU8Xlxn6+1MQ8b/MigfcJ
JB6cqeDKNI2XqqjvvJ4v3h7C1YRzR++Cj6DXxMrs7Vu/8m67IdgNJhkjIgj2rmJtbC76BXFrm3HG
JSsFJl6WuwadlxwULwOFP0+vIbP60m7oOsv4RBetJg8IBVZ66qzFhNFJKBcI8NYWDV6+ZsDXUEjj
zga3mV+1dHpte+c+HPv7NBOMut41tYZ0YYe4iAaDtkMz1h4RHRcUhBNRObebaOodmuhq6q9EqyqC
yJUptOmV73U6ILBel1VFIIwHfmRo1qcxNudM184j1Mw69qZirU/zK4Lv3VS19rJ08omvCzab3BSX
bsWyWxj1cJe79B3VTSu2iNxwnZgO76fPitXQcQXy378bGWz8BJsErE0upJdpt3WnfzY5l4Tl5DGN
re5DJeurJosAwYT1WVX6xdWGTZOAHmtGZilKCOOySDaRPstTIPTtWFDHmPOJH+uCX5pAsX7ZtcU3
K8/KTanxDA5jz1/2vbQWbEG7AIH3ji3vtXbicuvzaLRSUrfMTsOYYp3nNro0JJShHKdIFpfA3ZDk
A/g7bcCNvk2kdV9RUUhN1J0IAUfL2aMboHRfw7A6VE6Ejc+KV0OMbMHWuwfNmcUSiUy9ziiVI2WG
izptgm8EgX6TbX1L3QLIbqbtaCLu1jkPuIXVdncVwPZKpny/NBKtPJM6u4He2UWYy7dEIhHgKV9G
/oUH3ZZAnJxSwOZ+CobH1GifZO1h5k27J8uf9Z0wBrHCz4EigFjyVexF9nKKCLwqw5qoSWHuZZPc
FY65nSucYUEqvg3pqBMFkGzsjOXF83Hmm0B6vjQee+dmaA5z8DzERysybwpICsQcj4mWP8RmzldT
tFunKK+MqoTIzUSz0xPnU/CgZwP0r/vY4da2yAfQbNKSXGeO1xnFawtA1lXpD6emym57dm93zHj8
xtOa9Mm7wnaOER2ipNt1T66CzPW6PdTtlfIPtnanrHDhtUUY2Cor/Xhr1BLGQMZPYpq3WSaTU6Hx
+J81efYnVwN17NKN2Y7JYoYVWTSVx7eFnHWowoPte9qy+aIPxReVOCF33VnQi/Aw0Xko2oXFFpdD
PiaKhZT4s2MaEefpimkalrLhe3YnwutCDwaE+DNavZtD0M44nSkPv+izNu8C/JL7HnMgUQrQoaSF
TdtZIfRR5dXQI06y8WFccmB8HK17nkYHB3g/xWCzkDRMrTSW4cfYrXhCKD7AarRdBEGA0ijcFZH+
aU76ZzCFbxw5qiVs3E26tsohGYxU51fnPTamKFfpmL2P7LYLO4zQISe4/APiKIrQeaZztd9Ogo7M
oY7WtaCFysCt7/SaSvhwjqGyTb4RESes4JZopp0GB3YVS/diVkRlxV0OgpDpD3z8nOIQK9WYHHqg
nk2FfVQ2zjbxGlQzpltsilFPyU8EvqFNQq3+w3PRjigrszvbmlZOZj/kfn2Np7EluTXdD/A9Ms5I
o4IAaoipEDBCbmm983C9bv2hABjiEohhj6hL3/CAE1uk0hzZoiF8D6rJnckbcVoyJ2ChXB/lUBpE
HRxFOq3liJSM5362ihSBJR3kw4rSqhyohLg0XufGKHDKDltqpng4w4Qx5D5LmDGq19xlmWtrdrgl
TU3fOFo2/WDckr5w5M7d4YjWMf1ED9XcqKw5vIiCoxY+Lg7aYwA/Z1fieVCEnQ1z1xgjuBRUHmYW
DZYRa6QPz5dPaFyFlu3n+CAteR7DcFMNRrrqoAYjxRFS4fvQVf15Bn/Ri/gtg0mswZf42qcToZrd
blJ0YzE651x4oDo5D0IYSd2OnVUNR5mW6AjhLDtFXoaKxnRm5ykZ8hwKTp9XoSI7tYFouF4RoGQj
V0v0zIgo8oK2RUptCfCUu0ZRp1JP3lycLGQidNdu1UCvyr7cksTfnPIaNrWGhc0S1+OhFGzTLNC2
/pet2fiyOGNxxO7stNrBUQ5oJyr3PtOW6lBVBun5yyz97zr2heubf7uO3b0W/7X4LOL2L/yB6id/
LGSQ/TZqdoz8Bl7Ar8jt34F9gXUQlarrQuyzkYHe/1jInP9GX4vVQ8EOlqkCH37sY47a71DJ247Q
v7IE/olcFnH9n/Yx5WExQDWUltdSe5+v/vwnbKPpUP70qaddIVzC9V7ue5UpWGROsShA2TepO1Fr
bZnLJMpvdOJzl33M+jDU6RN5TOUqS9r9LDmCq6SDEXUcHn3DFKzqGvcUFrK3IR8fy2R8qfT6zPmw
n9EJn9DyyTW1jwRlmQ8hhnmyBRLuk+x2NFQXW22+OyJe9i41r6o80tdJTaU81l5Qxf2kj+53aOxx
kwzVXW4kD67IxXpOYe06zZ2B0dHFdlW3ikW1ylOmoiSsEDDhPytYNBY85xDpaBRPkgMJEJ0fIsIt
iX4MgP/mwaagLxitlyrrtekmGSgg3BB6PRC9WjZted/ROVaNC0Hk7MpH31SWg7+pBAFffTNh9NA7
d1nTLNPb5I6Q/nXdJXQ5+ATy5iXDLsr+j9Z1PwMMRYsg9uyF2V5lJAA0SH6CafDR6HJMa1N55440
UaPnfcF/QywCUwXctCCkquyPTtA0h1ov3mqD1MkV4ZfE9lHyR4i3k1vGTZ1ClhSRSzDrlN7rdC1/
8cnNCAc+6tZzYZWPZI6zw85jeeK5Ny0118eF71/MkPLYDHe9aLY5cWiZ7x5GO3iGvuKhmprTvuTQ
JXhH36NzyhdEBExrZgRjGThwxno2m0vez5MXtvGhj13oVz4+hJsBeTCDmV8wbtxnXtZv8oqBwHfc
o5XHbbpohzp+TBvG1zXFew5TPnab2Zhu9IZcV92hB5DuZQ/xlH4X9tNNUEuiaKV5QT9CFbaxqxtc
3om7D7J5m/YdTOlMLnIb3rdefhl9wldHg+NL75dWzjc/VCRn2d3eypMn7I8ci9F2GLzHXEPP5stm
h13hnmrOkxziO5l3z3ErdgKXDJ1sUYWuGZ/PTF0xCRU2UDDzNn27J2Y6/chXDjfbJZ84Qxa95L1p
U2ivYSsgaIxgMc4uDer2iyHzdaDiY9ouO89hcEsDZrWf7DY8obS9i7vhrdA4VJt72dEh6Nf+TRgl
q4rwnqKaD9IRj7qfYHIvk20TSwQRnPslgt64SV/yjqpUzXU2SsTNHl2toiqMOQ0RKxJ28OoH5DPo
OU4mZ74a9P4S6d6TYQzHstFWpVB6QfvNrHSHwsrkbg6jy4CxrJaD2jsfs1oXa90gB6xIGSBS7SrQ
/S3i9Ksubj2SLYq3nujZtTkEJz+c8LL25Itm/DVyi4e2axeDzPde2J36tjjyN+f1OJrmwS3JAUs9
OJYNaRUThymRr7eRLmwDSif8lsTEWhDcyYqgf5+RGkGLfGv8YTP4xJB5vAXTe2m9AqG1pWEVbVem
IJujNXcyrJ4n10VqnUPyMBmdPKO79URNQd84sIdK8znu5H5o0ABrfUBmtnVjJuEey9SNUfgxmXH9
2e4Ja0LFsw0K6e19WZHt725JZX7CfHcK9ebBLSp9kSU64RBkMlfZOSrqI1n4T1hP7ygrcDG79e9W
zq2myzMK0MuYEdoVTsQQUT2+y4z6WPvGLRfJoexYQCLZXpqATlCXdQ/K/jmHoZyhFjd9o8MYDEfN
F0fN1JFXDBrBIeBmUhlcUTzMw27o7RW6lRNlzds2m2/IS2oXbl5j1JXHseKS9WAT8yZ7CPTiJQW3
Qoexb6X12VjVISqdvTCjx76J72yvuUcemy1sB0WCHe3d3ntL9WovcqLd5rzcB4Y8TW1xKGaDO0wM
JC2nR5JjX8bMvPMzpKMGrI0oa32ZsLnjMdwUVXWx8/IYu973f2eTr9lEUT7/GSo+v8qYpfGVKaRo
uUX2H//3//zm/1E/92MyASo20VVTRk6AgUKEf5IcEGUEEIyZH6kzzpw/BhMXb62FF/dHPgGczI/J
hLgiD3MmVcBIBBjO/5kKUWUq/ESIMJlgWcMOiI/HBCo2xC8sUiK11HBnI7rk+mwF58ho7ZdR6ATY
2rIowutSG1D8dbXz4kTWIHe+xuG+GEYNym12m0c/sso7349tYvrMbkDHVrjtU2N2tMSTrO6unShB
gwYEhMkB8lGhQpnCh4zRQb9UbOliv3QKQMomlYT8aihkKR5vncbjmc21ayj4yfgCokCkxj5YdSBU
kQO65ijQKpQ90eL69JoqQKtW0FZnhA13BXDXpIAvHwQsK3rguoKJ3u7ouw2hD3vwsip3bi3wsxyu
epWa7scU0HPqSWYOsDY8b3cV2FvkwX6WCo5DgYgY0ACi8xRYh7s3XhJVdZuA4/XgeQa4XuoU2SkH
6SPXu8NhYyBPa8AJLRlCLQ1kuFVghH1dPdTWXJ1NNo/FrJhN6RW0DeTwpYPVDwupAEe8qzwGizA7
kQ+LCap6NhU82QhW006XnwR+TuvUH7O113Q7it62OuimSNtV5ZL6MlEXbykAlDF405UtuXFqq6kV
TBr2nr2LC/7N6kfgRr98LEBVXfrVPZw0XpW9izS6dxT82raJdQpAZONKCfSAaHsF1gYKtg0JCAhN
gNwys27RFt5bEsVUaLtg8sVxBvutFAicKji4KIDoKgURl+F4xLi5bPWhp5u82GYKTiahinwoEGbk
icSGAjk7CnwmfXLtVK3CXWDCFEDNGbqB4u+vOgVeUwAHji2tfauAbU+J8CVY96xAb9uMrgoFg9cK
EE9AxhFwvwUKKkdQ2aEa0zeu9J6IwH12CccxQNezPET8qd6G3t/i2trUwXzJwOOb2Nj4wTUXa3ll
gddnfno9T85LrID8QkH6cozrhaVgfh28v3W47AQMQMnW6SlKINK8J81FPtcqukAkIBOaRGkBk2BX
+cWEWcBaet03HoHPinQIXYuYoPrFgo2IbOMhV/SEA09RwVdM8UDGDgyG5gebsK9psILb8BIXAmU8
kwnyiTP3voEDoQzjlChSRFf0SJv57POKMkH0+oFOn1tsphXGG7NuVcGw8Ms7TIrRc63IF6HnFwM2
hj18Qy7rm6YFSzTD+sJVxE0Og9P+RuVER1eRO/AaEnATwkfTibHWFAlkf9FBihhyYYiomUnXLZyR
aILnTJFIpmkgGIJX8r35lMEzdQJpLLwTQVqvLTwUvsKlBy+VYLPKAn8fwVc1GYcb/BV1HukGr9K5
U9QWCGyxmUBaLUOll8B/TfBgfteax1jI4obxHFX/2AsEG3PR44UwkRvhONyJxHuCHkSSWeaCRM2Y
oJA6I1k9byCzwqIkqmq0jOtxsg6aHouriBtryXduXwoX55jdS76c1h2f5roIb6UQ2TGxEpuBgPTZ
IdOynSAUcQH+45rKsh7qi95po12rmcDqRsRLT5VObFVCbtK/x/Rvx/TfQgjn8qN8/4sz+if0gDPa
9z3iPXlU4xlQTO9P6AE2V8OEzaXx6kv79z/oAdo/VPskWsPS4376CT3gTzijLRdbrK8rdlj8E/RA
GRX+fEQTSQF+6QuCZHQKx9QR/hN4UJe11XpREl3XXWJTRfNVpmW7F0HJCg+U8KtpK/2tdqurZt1f
NbHq45qwWqIs++rpGhxBZxfhOjuaqczglby1RF8PQ5FppH1ZDe7+KJnEOpw1DeAaSz2Je7UV4fkU
nTF2sJf2nKFja/xAdUMVrhku+8lxWrgNopemhZw6F9uBjOto56IOIX8nsVWcryvtXY1/J1kWOd0i
Tj1k8hJaWQeOYELZrEPcqtRZeew/c9tpn3bMAP3vpf916atGuP88oX7r3v5iOlU/82M6VWZyIDEU
p8Rh0SWHWuGnKx8FAVgaTnM6mZQT5gdu5pMX43NbqLBU03GV8unHeIpVUM2nPn/0Bar9o4I7U1kV
/3zts/O5eLyJy0BmJVQ338/XftbKVh/LUb+0SflMSY69dVKTS1brwJ09Ud3YJekOgCT+lXqmk7yl
RorGOsgSA8hQ0B9CspF9knLuFpaXKjjC2fZDd5d5Y3WWs0aenk67m/eOLo8Ks3zYkUgfsKsPez/w
NjAaiPDjcNs1AZ0GxDItXQKyhkLurDgq7snz6JbgXu8Oxouyqx6ksCpwD+SZTli/Z5OfrsrGKtgY
h91YjRhX5jIqbnTT24rEsq410zkGzuCv2wHlXj5o1I4LtLZZBr0QtK9uF74HuTdsiAmj6m6q6j39
MjneaO0Wc0t27bcSX4JDNF1mEhcWsHqvghiyM9SAc4pgQkNhoWryzY8mdgDjiapsuYeJBnyODfO+
LX2kqYnxiUZ3XOMxfJA9PGvd7Dt6ctDlih3Rwh+6DimTRNGOYfOm0JNz4xiQCeGR4Kp7kRDyYc9E
w0tDv69caJuZL6HliF5mQVAsWStep440ssZtnr2BaaypyPytbUp1LP3ayyyxioL4JmbspqNn8IbD
NCEEJtbvu45pWMc87M3xsVduYjNpbjs1YYw2woNZ5s3SxXycOEgv3CpbuTMS4VrTeMIUpMNJOimy
JsXkBAoUF4138Y1q2mYFFhV4rb0oap/qWFS/dQ/NOLvhjdalSFFi+92nzeSqnozvWWlPDsxLiVox
Mfwr6Bw8TYUk3DDFTNHaDP5FVlSHMC0vEYMeLRneZdBK2r5wgC3CqfxOYRPcnigPnTSuqrIqkNfM
EO4xiSaiK9FF29o2wXSw7EX34lTRY4oNcik7fwn8iHbHiPjcQj7cDBXPgtz8RxfvvAjKN8yfSCFN
62AV2o3wqu+Ib9ZdNG67evRwNjhyqbfS3DtZva+c/DC29toKzcsk0otldsiuM5900TJ50ofgwc7B
e9rUL5eR5j7INrR528YpqEju0TyEJnWtPBG6fptP7QGF9bZOk9s4DtdOl30bdPlm+7JcipS+tKnp
rzyG8ZVUxU+lXpxtzLNM3dqBQkIaUHWiYzp0w1jX3ZNei3dSZcxV005PrF70VQsK3Bslz2nnejWN
/T4NZp1wUB1n1vAW8VmvHSUzLxwG79JgQSqqs0+YtuOVmyQy0RsZwTtrBlM+3mAtG+ol4uFymSbd
cZzSejn5GYm6k/3Rqo6CmjiG3EtOdSCNZVzl6RI9wzaJmhcvqY+UHTyIdH4UWnPD+8tILrAX/uCf
sWzhKjO6VTj3w8on8t8jon7Rzfpt45svU+tXnHpRtoyp+Tkgm9D2sLVAykQl9Gl9Z3HyRVV66zmF
vayw7mC6NYNmH7j8X2YZkQsHgyUDhE+JCdGW50zCOrQfkwitQQjmF1rppqDfXMQTsC/eKvdCqDjC
qqHMVkGUpazf5OQaOtUZtk6CnvifGvB/RYMq4OQ/n7PXsKmvzf8/Y6qf+v2kxY5KRiRjIdpAEIc/
n7SMkbA6OqDO17j446Sl+NDij6iTdeG2cK5AHP04aXHyq2Q03/6dvfoHkkGi3n49aQGTDGXlV1Mw
14z685+mTCsKCwbDSVzsbGjTXdxTJVp7dXpGJ0gke3ODf/kpaAK0NW22HbCSEmnULHKyImxSJPwA
01lMroRsK4qySnnjQKj6NAR27NQOSRQmiRRzt4P3+VYSUhGEm8gLL0KlV5Qqx8KxJx8/JEK5tHFI
aJ3mj8zy0Qp0tAhaRGEw04JymFq7sYb2GyHGO+RF5GYQoBGrJA3kNmR/mfpxVikbBug86dzOoiOA
o9Aw+eVS/4yJ5hhm48NTWR2lSu2QxniXqxyPdGTVnLQnORPWgTeNXjXKyPrZvyqcaTpqVnrrqFwQ
mrxIQCQqBPKQvxg0322VItLPzbvsBaYw8kUSIyYVR2WO5Cp9hLjYdz19tjmKG2deEMAZ22BpTuJH
q8Bt5Wr4SjHBOEmiSRGZ9M5UjMYIYVTmifjKP4lHme+ioidnRLWa6vGkJDwa5lvVeaoDTi2Y9OhB
Nbxso090o5pGLwVdk2AIUzi0N+zfdL/NmbzpVbMqZDw1HcjzFwZr6KJRBsVIdbHmqpU1r2mDmulp
5awe1pa0oMLLhpW9ixCS+mBRgep4JZRkumE3Qk6qGmCh8egDoRPWV+2wZEnFZ540yQqurTlEBKRu
R2Ly2M9x569q1TKr0ZuyFWn33VANtFhWumWtWmkF9bR9y9dHvKDSn1B6JQiWJAyPPltLdz59DUVr
x1S1LiouVanimHV6cEs7ya5pMEnXAvudytwhxg4ocGupDt20b+ytF9WfdHP6WxQ/bDmSzl1Xte/y
ybHBqEZej84+EHRaeuEP+Wx0TV8UjAIL86vOV6hm31x1/FYThSIlqNCiUTXCSBDkcaBn4hgO9AMT
oB0vVJ/KtmodZIYIExZBY3+PQYoXFhXDZKub24YAJDQRMw3EiV8h7/A8603PVc5DwBY2qM5idFbI
Nyurp01OVRonqt04KcjG4J4LD5KH+m6gZaRdR1+VyKNJO7KPDDj5jk512nkslzeloC3Q8MgibDlC
5dGs4qXUx/tME+GKfAQbf6efbsqsfgQ3DJf6HMBycXqsGxLi7L75RtnZU4a/h1A4f1hH+Tyu+5wY
oUR3c0C45FEU5XVC8MTLxBwFnBFGp6nzOMoqgiTm7iYu4Kxsh02yLNx673fOZ5T1L50eED3vgXT6
2vchaZXWJP4GInLIrOxZ1VBvzYY4xiyX6iHin/ko9l3qfy+5T7WO66LNvXs8fNe1iA4VNQ+LQpZX
rm69o8V+ogljXAk5XrczXJIn5a6cm7tm9h/qyAnwCOdowDq57pMJX3YQT1tqQJJlUsAqenlxHMJm
KUk7DHUGbDcEfqQztD7aFB0iyFVt2cYuLrGKusHFM4ezNpqMKqzF3CmxpJVxBIGKs4KGQj9+S7z/
x9559baRrOv6rwzOfQudwwHOBjYzlZMlyzcNWqI759y//jyl4JFk2mvNpi60gcWbwUhWNVms8IU3
oLZkRnW48jS0Hy29gVqDffMhgSLVKhNDRN1IvjuVwZklNynhTXGeddIVrh7dMoyi4NBLG7YyTm3z
aOhs3hKi1QM42kXecya5WeddJBANJxXb5eLR+HmUXZeaKA+tc5wMQzdwljIx+GXslfnMVul0csI0
yyqEoysZvbPMdQWwW+jbbG2M/GTXGpZ9AxzYrQJtBu5FnzsjaBezNH7gETTOIn1c0489Q5LrKNHC
Y6PpRVtSVpdaB6KSthne9noVLGiXo8+Bhd1Ml7NspZq9MQtzRD39eJy6QaAuVU0UtEPerZ+wa9Wu
gziXggMzfSRph5xTSqaGvURtw7swSohnfisEWzBHXUohpDSI1N2k8Kh3I5gMgZqKxH+qac/NKwAy
vw91TvCh+zXQEUKXL4GO8qSTgZKQ+sKWfSkpUGfDXAWiq6GgQKSIQsRLSQERb8oPNMr0nwLfL4GO
daAD4MalmaKD0Ov4Zx0vh2Le25KCTc8LfSEVPXGqFJb4/atApxq5OhujMU89DcwBIs0YNNKCBqwI
TR79YRqsbkNXVcIrLJ7ZtWtlJ4OMie+8CcIB5r4hxyd2E8goOxBim5Y3FSe4PnelRg+dOaxMonIN
hEvcTzok973brkmkfDbKni4hI2dJTr6u9BKUBye02V80oYVYgi/h3ogVAaSLPr0F3xJMNVR3ED2F
5y6EeMhOgdkH5aO+UbVwG/k6RLenTLlaMoA97iBfpkLaR1E4tyC9H+VZcpQW7rGCChB+x7Q0hDBQ
nidc/mt6HC6BAdCaQIgIRRZyQnFvdWjrcvU0Qmyo7UdcJ5xzRUYCQzSVpQZhInT38gkUpnzWJcje
ol6kChmjgIZ5LYSNFBSOkkA2Zlw859g4IYthtubUFIJIblvU8H3HfhZxIyITgXDSYHCq4qkyl40G
/dUGeaUOnSV8aaEkYkXalEhaJq7y0Pd5BsuiWoRysQqEXBOsvuNQCDgFZXnTGBRnwgLIbkPW3ArJ
JwKvK4n+TiHEoNyI+oqUEJegNL7WMY+DCJqdhmp2WRTd1LXyI/RBMFZC7Lul+6JYiFJzw2KcSzPO
b2e1RrE+jmZwJKVpCzQXmQFQMgQpqUuCqgr8LvzMCDYvmF5Jq0+AuChYS4H3BbK+VDzvFhPQcBoJ
TLAm0MEgLRAbRGVVxzRLKerDFqWASSGXt56AF4+RcTSAN64RqkAGvMXlQVlFaXjppe1xYGizSECV
TQFadgV8ORdA5hLg6FQG2ywLkLNdaNtMwJ4VAYA2QEIbAhLtg41OtegLQeyNEHbJ8uJM8uFt0/5D
IOIRZw3gOoyTmw59DREoNbJ2JwtItkU/o+3iqz4y1qkAbZsuiG/kgAFyC0j3KMDdeY5MsCYA337X
3aaU2ImKa5RfuhsFbLheAWnyQIvjPH0WVsZUCokSjPp7L2DlVYo8RmNhEgtEdJYJ8LkGCt0NqWhl
ApieDd7aE1D1Asx6A3Y9sr1vqJ4HUyDaIRhaAO5hC2VYB/PeCvC7ImDwGXh4ScoOZcvZpI9AeQGZ
V8HOU31cBAJLD6Ze0rLzDjMJ4N7alS5g97Yvo+vSo7EHIp+SIEaoYPT7IL4llEuXKej9xBv7VQSe
vxHAfskH4p8KsL8mYP81+H+crbFxrtCBjAU5wEEihTKBvET8oxRy+YtEUAlcQSoQXpwAZjuk9Icz
EHDbUhAQMpgINHW/IOjqH5aCpGAq/TYKnMtQ0BdEEQSuBqlPNQ4/OuRnJ4TN6cz1VH1K1EfbWZAh
YkGLgJV1Zbp0p6n/Cg6VlLEAwKYVQ2ZM9Ywin9dvTB++RY1w4Lw3HRprxQnh6jaqe20GhQU/uGhg
QdWosEnyj7LTj7wMSsaY3aWWp9L3L9aWFnVTUGlHMmjjhd1L0O0bGu69qq+9Gsk2dPXhl6jhiRJh
wzj6S+KHI9QWLkKo9kkcrv26uHJ9TJ57B3WcDtBL5p6ZUn6d0xGZaGhSI8XlmUcO5yJnIzU0MoU5
Qm8iUMpu0wxkk9VRg43JXA3ECeadR88iaLsbp6qbSZMR2bcpLtFpEN31Wq2xHXsMAhqZIpCWkWyp
ySIa/Fu123YlmBrLwI8sHfQj30zuemzcl4pDNbmr1bnbZjelMHAkVr1RdWPre9BbhsiilqjBs68y
6ok6Vg3yj1ZhMdBnvc5LvrAOTfKZEaOYpnhpsSgS67wNo7kHAW4ieZ0E57Y9NaToko8KfcU/g4qv
Lwwdwj+K1tRaY+vYol8w8215jWNDgFaK3a/1zrhScxdivDMuyzjYJhi1TLBVpCXdjemqitovWir8
6q1+BNNRCk+Ix+DgPwUhQbf+fZR0vfU3u9x6xV+9xEm0XjQEQwzdFDpjb1T3Ve2APrhMhMK1Z4Hz
+RkniYKQgYyvjcEYLUFYpK8LQtSHOI7ABtE1gfb5T7qOyKK8j5N0k2BNPAuskfnY/3kdJ6UxpZSY
t3HWOn5UUXQEQ2zIqzBNpcMm9uZKjRiZIVy13bZZ992gTPABBE3aOoe1EZnTXNOUhRcO17aUFcsm
TOifKHiKQNiah01+76k9nXlafr27BNHcSDNNam4qoPWXSO50S7M03WNfH8x12Fszs1C1aW615Qlx
J6gNT/XBgSrfawowstvUq7xLT0s1BNBMBhXNsUmHMdlfYM1tXhRAoade1NkzOYaGV9pmgmwQZDcP
lsBkcHKHDkoyt/sIEHMjAQOw3HkoEm8CvQclpQM6q1pkjWvch3BXpF7i5SNwUo0gInJT5cxVqcj3
TcrPgGSuLAWblpzHjyLtKzFe4CkcUaNICktNmIeTJ8bkiyF5Y0/+WJeAAwkdUSwjtTRFkpnVrYHV
d3iZGdU0MrOjVqJVVZoaONCkgJ+DRMekJG+10frA8EqksrYkiBxXDjluDkZmbRTjedlFCHKQB8Px
vM/IiwuRIKOxcIhQ/blRu9deSwrdUY1uyalLcmuZHBtrtmqmirSb8om1zOPsa9jFhyaZeS9S9IFc
vRdJe1M7i4As3kidbS7SekXHdDcUqT4mb5k4kjGwErWAIOi4bkR9AL2oc5uCQSQqB4g0ivyO9pMk
6gqJqDCMVXVrUnKwzX6awdmYRx6hzuAFPiyu4iYTlYpE1Cx62/RmFWWMjK8+jlUkvoIWdcd0BMNN
SwjNKL05zysAnjLqonM6gfeUI762YJ0S1JgXrqY85G4EhQ/28GGKJKUr2drCw4puYfYYyY/4vfB4
lW6KjNq1DIi2RDu0MGa5rq2lxnGWng2uX7MzNkJm/xhCc6ZH1Xct73zszOhxKyEqXI1J8THFXZ18
gTaiLedcAVG8CCiVmL7rTKzSodUTsEfcHoh3m/njzCUcxrNPm0BYXnotDrq+3Z9prbtSjZTWXnpm
RvZawua0UWkKzNzuxGHMSq+v8qKj+zRY51Fi3lpOcgYXMZ50WjjM3LDH2Q8VkyLYVmn91Yp9mVu9
pkMT5s68goA0zZzamdRhusii/ERVqQ3Aqau8Zh0V3nGNJS5Uvgr3sOFcjduV3kAV5Kpltff9WRKr
2LDJ8Z1fYXJj5vT95c5ah4V1rDrJaVDny5gAmR7WAGUxivCxMesA9WbFnkqeEqybMDhWmwCibH4X
42yDbVBFuKK4XyiV3zZldQbUTl/6hNKznrQfeJFuzMq0JkPzqM5JTb30MLMD9z7iejskl53p3o60
kCmjNZUAlHP08HeYG/co6cRQK6K1O5bbItX0OX6lgHyh/ckwfrFCM6OJw7RO25pIwNUu6o5ihBY0
AzWjSp9FbWmuokL+gbzTkR4Ex4HvWxPgxhrLuphRzLsbTe3axYBnWroZzIWaXmUUKpfkvXcKGKwJ
2eiFKlG1UEYbfeRmWY/ghIrUdmEmtxel34CEVq9bv0JFWvJodNqH0KRh2FvJRYxOTW8F0qHfxV8C
o0a1pu4PzcGet0DVkExRDTKjOJ6aaRdhy9RjDyD7J2NKbAEfo4e9F//wRve6yMnyBgXNaWTv8mXv
hw9ljtFspqQT2e7Gmegi0Gqjrt/RX17Vdr6wOotIrhgvBnD3c6mt8Y5yvKteC+aNKq2wJjpynKRF
nrU8BErjcwugB0kLkTJbZ9LpNjNjAfX3KwX6BWJUm6Lqg2Wv+jgcdu2p2SRfVKM9HuENUIQN5nqr
L8rQm7eZfRTkJaLjbr0aWUTTbsSkEjzfEtr8/ajkJ4bHmY0ZxNxEFK5Qyi1msid1jyh8783xR/En
1YBKr6bcZTaRcoRYOwYVczeSV1bNaYqWri4kXBHy4eTGQSGI7Rm+7zEaSdZ13gQntP8IiTkoA83M
5m1srdjc/aQegxNFo+HZV85Z6YzeUtU7XIFLupExlpxWV/rYnNOvxqe7NNqWEtWYLdHU3XB3lvMs
8LFx8QeIA5qG3gGeTVAMDHVZVuXXIFKuDGq/cH2dL4pV31HxcslQ7R5aM0sjtnKFEwR+qWp/R4G+
X5ZOueD9fYf5mCGYmD1gYkNfMFQQDPc1XCCj0Ji5eXHOnYe9PL/rcv+odkDQgkHEd1jK5k7SPLhm
ROpvFQ+an56FIRhCV3Kxym7dEyU3QVh4g79AxwHDlh7/TTdsaJDWnGDI5J36lswuQ8N6IqF3mTXe
ajAgclqck5JLnVtKr4aMHCCQwm+Rld8bHY7HfpIsgQouiSNEYaa9UqAjTosWv/FRstZ57XMVp0JE
k9BoGigjTAZJqc6cUcdhK/kRyVGGUWZ3Rl4J11DyjmUtwNO3zn9ASffm0IPuugxjTKlI0FxJzU3k
GwYm0tJXuWjcCzC5J5zmwJ5OdNzr/QD/P1CJ4KNlGuTFaRbHmQ8wIJDRwSfrxL0UhFnhH/8njn4E
MAl9lN/H0YL+d9wE1V9n34Mq31F4FH/+ElBTXeT0wbzZUWX7ye3vpfD4GGvjzEdszH6hxfozoNYM
3AP5G1JqlFkA8hFrvxQe9QObgNqWZeD26KMBjvoHHVbGeVd2BBjFaY66D1pRNG3flh1LVXjFUSw8
84Dv4gAQ6P5TrnXf/19vm50/qRi9drDSzbdIQWE+Y+NAiPuHDQ3KfkwpXofsiZLJTh4P/akXWevU
b3CfV9WwXFhJf9JrtFFmVjpUyxE51zlJNFw6pbbJEescNUu7dswTq7SciqKOW5w0pWRjmNGANz8x
TUnu5zo8Rm8mA10d51UnI9PQyfkqYovOS6psy74vyDMzkv8Ob6xl6evFHEVRpK/MnP5Za56HVuot
8yiRZw26a+x0L1bnHtpd0jJNujG7SsvR/4HAYLvQlMClB2PTe5s78aCreOKh5SvPFXxHlbmvJ7J2
Vac5pCjo28VFTbMB8OFINUJBSq/3v2q5ghe7jxpCjGxL5NARbYslbMfjrjGViVVLp43f3hiRdo30
2lUZjceU1W5M+MIT2+SgjAL9uCj1uacXx74PUMjzojXYLOKU3jyCQU7VEphG63FwBygUyFw2YzYc
wpi6y8NwIBq1BKimOCspsa6c1D9uevm7b0bDkZ9r1lR3ISrbsUIPDITG4DjzAc7fpHboJ3o6Fbq6
740lbfnxCGHmoxYacp9EYIXBo+EgXXLpILA35vOiC06SztDmrqYDU+bmHsdy7ZbBJXCveBniuj7z
pGhdjgKvXynrtOqBhPnJFZqaR75G2CENsnk/tNC8hxJpN5B/iz5nqSJdN4dBQFOIGxKLrnWfF1wR
CDgq2DtMotqeGrZN0dILDcGNR0mm15sVjiK0E12HDrir11N5qE8KmPpTaKjrNuoxM4nlrW42D0pi
2BQnzARtHCxbJ35kBBd5amM42euBAYgIHpOlSIcO4dKysuX7SPLXoymd1or1BV9gYWBhCmdfrm1b
CBYdj4l90abpwgnpxJfuvELIKDE75ABjdWlTqZkVGhMPnZ3Lur1VBG4tB8RlOc630WxPMplwOyj7
QyOWz0cGbRVobjamKLpC5VzaqJWylaR+nenjseYS4lg3vfsts8dDMOD2wiA4KS0DKRgMvVr8iYG7
NbVdw7+Mjg3iZVzdlKmGvzYtcucu9tQ74U0+Kzvl2NEx7Oj0M1C0Q6IjhzPSHTTGYkF/4Nruqy96
1CL0F/Uzwweo21K+p59Bo7ANcFKJ1qiEcOW2yk0u+dfoA3+RcsEuAfwk7Kmt/rBwpMMe7e8Jnb7D
InSWsYkLL01hlDwVSJqNXl/qXUiZtD8yEPFDhwQMhhbDIM1gqapaHp4meh+teilR7/DrtL5WdoYL
cT8MLuQEN7rsEbye9H2sgBtwS2772p8VUhRBKxUElHoAQKZKOLCwLY7bHBvMRhfBbly2bjVtCCTY
YaSo2NM4dUsF27W/jzgGQX8wb6SKGkNbmaeunxOpxTk2BbpTsZi1aIKORnyE1gysINW4rGUZ6cmi
K2Zem9u0RcKjNhuukjxC/abLMHXOK2+BWvRX07wK+eZnRYOShdVX6aGtxeaJm0Po7UcaJ2Tf33UP
bQWzGHy2HPRh3biWvRxAXjgQngzecZgoI9U+9yKqs+9N7+BqFs7sUCVEl+QrF7ikpuXfaE7QlghX
bVj/sMruLDbGcOHhzj7RuvhODRtEoaxv2SBN0AeiEq+AWXO7MMeMIaUVC/O1co3ZgKZoCLsqLNSH
xKz7ZU42GqbtXQucwtDrnAQHd6UaM6+SrzkCPupat0pa3RhNemsoqARigXTVx8Nx6nSruoDQLHXh
recP66Bji/b9SesmSy+hGi/H5mVdj2dGZd71vnGahfrU1tvbDg0GpcsOA2tsF62OlXcPZJNvY56i
YjoWQUWIaS6hP5ClxwXVEzugat9jQEPZcRoa5hWqzMxgDAGbdPu6aIPDWqM+i2kq9DL/qHAzUrkg
PQ+CsV5loXdrDAUcW7lcGYk2F1IcUtOfaCmfPvGtY7uxaH94h8gK3Tl5O3PHbJpj5qyBm4cVSh/N
TWB7RBvJlmbwbxC2R8+JOG9DNHfIXM+CsSdnVJ1DvRkuqlzmberVYShLq9Iwv7lwMFv6LHrdXrm6
NYPxPy4q4DCTJPDPZb3/4codJV+ImLIOZ0wlDXCMeFm4xXWS1vTI02zVwtNZ2U4yHCuUfUNVPW7K
4JvpIg1VQpHDoKhepAkVo0zXu3Nw1ti0lZ42j+zya0q1eyHJ9pkMLAPcQVEcVQodyBpxlAV4pHs0
wZJZIRO+drnJehnRvRzovE80PYgferRhZqqW+JSRB/Wk8yv3x6v4bEcQ8k55jhDE0dEUNolCKGUp
5rvuqhIZ6NqmrnQahl/M6CZyvuvGE5j/t3HOv3qEiLReNXAHVrEZNTxCFq0n66zJz/rw/M8fQ+DK
X+lEPn8ME+EGXCJMQ3v3Mah2DEnnBN6ZjIOJbZ2N9XHfX8PA+vNjhETo+8cYBK3IkJhUe99ra3pZ
OGhW1HpnDbTsIiQdVdmHxZdGP+8AQptVCXPp8PGZ/ynJ6yyUP6QSUPFxp25+BS+Iv3vJIUgUdOJq
/G5BQaqGECH9mUNoQBTg8xjoguCt90rY8VEgHIUPmbKHLaxB/i7KU69/lHMk7hd62wLA+Q9yCDhg
bxYMdF0dvBsGJEKF3OStQMp4vfYh1XJ/gEI/70vZWqSt3gGt0gHB693Kt2AztgPVh0bucObTDPlI
jhMqN2ZgResYms3XAHrgCekDlQJNK67CxtRXRt9Up13k5g85TgVLKwaR7MfWAOpM4ZrJHanTJoki
9edVmdRnRRjqd5Js1gvFBbYxBccTIyvppqeRlzsgK/3LoY+pGSkEbarnIxxNuf1LbQ8GBmVWedWp
RnNSV761jpo0KyZWI2EJYQzZjdbI6ABrlbrNjCb+CtAiXXlGhdFZ7labFj+VOTXtYE6dFKmjsCuh
2Lb5RRem8xg1hIUXePmsRT0BjQUp1dv7rKJhe6TQnh/6BeFRsyTYA2ite07on8LshyJQuFVanlk+
NUrLQxT6yg8dvAceKUxjraFZcmoDNiSQB77d68DjiHlQW2rzjjsEO6fgyJSQr5sETTx8D1u1QJ0E
rRKncPs7s4u1zUDlJiMlMdOF55vG4dCYw1XdZSNifgbgVopaMoBBYEuBByrRzVvvOyspmMrpOG7c
yh+3ZtB/LaVikXrBoWThrpsoJhpMBrIIUt55CrIfzbCMCH2OPKUejqMMvXGjdiBC9ElGWB10XrCo
kppKfNHizpBHxa1OOWsdO8oXLSLczCWOU1+wcQ27rAGnVuaV7efJupZq50suF+Zp7xTyDK89+Axq
bWTXGAcn26qNne+S1UmHlKkh9/bJWWgr0qysW3xYJKnq4T0WRT3r3SD/YUlZtR5yNwVMa1drIHTm
N29ULEQZrfALvjDhsQVh8qTCtZ7CqJVR1BMxT0RfeWx66YjFKxTj0+4s9Er3qz0m3ZcUIat5k/XB
lRT0+bnfxkjIQ9mDb6zrLVTwSlco1Dp+Pa96o5p5JbyzqQebeKW26tYxYSDHSGL0nXYxmFiUkLSZ
yhaKxrgoApkwJq8EG9Y2/te0R5+vi9mm3swf1Qsumm05XG6rhjbzyxElfnuegcm8zv5n/+jPAz3r
JlwP+fb//Z/NQxKkaBXVZXBfc6xt32kqCGWCN6f74xt7fNd/HCfeoM3QPPAEzmJBckPlgNselCr2
cY8/l4CCHVCQ0OBqIsArXq9v1D9Nwp8/39Ns/vnf/PG9v58Dg3nZbw408wAfP5S8KYQ9vriq3kwF
RTR4sDYq3Fw9POvVOvndSvjzB/zwSdD49vacBIuFgJC5aG0/vd5NgqoeUKZD2Vn7FCvh9WYwjOfV
+RQu/1yc/2Ij8AF/7gPNOhCoAwKV368BtK1VvKeEfxqvT7kSRIz+ASvBlnW2PdDSxxcgiDfbgZWg
Ep5bItD6lLtBfl8//8fHIkeChV45Kv7P3zaz+mYOOBIsKtcGZ8InnQR9/0mwEAmUUd036RGIF9/3
m0kgMeCH6LeLlOBTrgTtffrzz1eCSoZjICcuaOBvPj2YblJ5OgokPo+vTzoHoquy592Asr84WSwL
NLx4vb8gwWapMq4b8OI/6SSItbv3JID8ggNoiKng9X49sBuwCSZPfp7wzxclCP7inpOgiyAAaB73
5NPr/aaAzUDDDWwmlg3i9VnXw/4Hg42VKrESp9/TJ/1lPagHkMsRMlM+6+kojrQ91wP1H2o7SGH8
ZlMI4ouB5AsUlU+6EpT9j0euCK4H1OKej0eyhLc3hXGAFxHBhGW+HJ9M++c7H5Sn9OafRdEiKPg7
jDYOEDUTZ+TTJ/3lpiBuErsGWtNnvSkUSud7bgrySdDGsLaeA4MdwSOiSg4XxaedhP2PR75oNoSF
28/jmv81eFRRxYHzBmT7s54MT9/OPttBP5ANVdXsl5Xw/o5Q7AMRP6N/AESd16c9JPe/KdAVFw0w
FR7ry0d9c0gKa3KT+5L8+rOuh6c3ts96QMPUQiPKQEHq8fV+PZBaGxpWBAhOfNJJwM113+PRQvwV
62eUIn4zCfA5bNSyFOxYxeuzbgp9//PBPqAxbCJZ8rT9BQbv7aZ4zD6R+rKfbqXPFzOo+98U5oEJ
I9hCEfjx6/51EjArQKESVbWntff5JsHYO4YUdXiCBo6G57yJtfV+JSAMIxrvn3U7iA7CnoETtyF7
QScw+s1KoPJI1xiB5s+6Ep7D2n3uCJoNJq6Hmvx8Uf5yJlB1Q6eCMsRnDZxEr3/PlcAdQVRE7Pi7
O0I5EA0ZZuHp/Pl8Z4K6f7RgC6y1SK+fexK7VoIlsk716SL9rIGT/iEng8FEiFvi8cUKe388wkqw
kdH4rJtCsFL33BQa1jwyuKvn3PrX5JpdI/RHgdQ8PuvzbQpt/+jRPjAg+ZIooBwnXr9clKCVUO9H
v/9zR4/a/nUGOvToZNGAeN4U788Him943aI68mmXw/4RNBkVQZMOWvA3IYPCHFCKcZyn6/SzRk/P
XfV9Agc0gdBE5NJ8Ljv9sjOInlTuTOf5fv58x4POCt7vjCSOxjmEthxijo8vDpz3FwU9O2zHnsPV
zzcJxkccDCq8LQ2dkqcz8n2Z4RHQQtxgPnfKP+Ek7J9W2qSVSNGTLbxfAsoBv7AQzv4Hh8G/MUU/
IWJTH9j4IzgMovguDNnv/sELaujX37+Cfj2iXd78SwEWe3r4EzhK/P9/vcWOPXYbXv32pfvw+KTn
v3/+iL8+/M3DXj7Xyw9XwbbclPdIJz+C057f6OkmAV323zH/edi8xuqQ2WmiV/Tys91At5+HwJ9H
hxe7fRnob6chIZj+90f9FUX37w2ebB6y8mWgV4OzZvYeHGZTveuNc1jtPfZ0E29avpLqZaxX753j
df/xM3RIf/lKuVw5tj5g8LQuN39NcTPc9Qh28t6PmG3jv05h8O2af3KHvcefx3/NspLF8zLWq/nn
Rt57/EWJ+MSuwTnk9x58GW/T9GWcV2/8I7brqkm+Z/FD/evwAsa691tfJ/m2DDbxy1B/v3vR4d1/
+HTYMenKR+zYo225Y85FM3bvd30UpN6Og0D0OPce+3gT7dhDAg/3AUNX1XbXnHzEBj3Oqr/+O/W2
8XbXzHzEFj3ZPHAAv8zDq4X4EVtUOOztmpqP2KL/wr3v8YLf48I+2abYDgW7Ti+Bmdp72Zxsy/vt
w8tAf8+76FntP/gfLJP2npjfC8h+wND1ttwOLzPwalY+YqeebvIdC13kVntP+Om23fwaOxqIv33A
4GflhiPgZaBXk/IRW/Q83txvd8SOoiS897T80Vdh39VyGRA6VsHDjpkR9cu93/zV5r4kJUh3Wpd/
xC79l97o+87Q0wPKdFM+7DzIRFnvA6Yp/WsWbL0dEYdANH/I+At2wH1Q3e96xkdsXzFRh9mmaHbd
VtpH7OF/TwjnI77wk0293TVPH7Gf+RT15q/Jpvy+2RUzCMzuR3zfPGMa737Cx2xs8SmwXRpf3u7f
Z6r+IRvb3+zMCUXJcP/5oYaxc/I/ZDP/mWS99/rM4s2uiEo0wvafGAKTXZqtAvqy/+D1Jg2qeNPs
iMMFe2X/B4gyy457WP+IfftHOdt9v9RrYnzcs1/m4O+9JJAme8/LdcNJsOOKF1TKDxicAlGyqy4n
2JN7D3/DCM2uvSrK5nuPfpfFO8554yPu3D/4Tv55tewqy/5Ej/9arH3hlu76s7e1aPEv7uPtpvyv
/w8AAP//</cx:binary>
              </cx:geoCache>
            </cx:geography>
          </cx:layoutPr>
          <cx:valueColors>
            <cx:maxColor>
              <a:srgbClr val="008000"/>
            </cx:maxColor>
          </cx:valueColors>
        </cx:series>
      </cx:plotAreaRegion>
    </cx:plotArea>
  </cx:chart>
  <cx:spPr>
    <a:solidFill>
      <a:schemeClr val="bg2"/>
    </a:solidFill>
  </cx:spPr>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image" Target="../media/image2.emf"/><Relationship Id="rId7" Type="http://schemas.microsoft.com/office/2014/relationships/chartEx" Target="../charts/chartEx1.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chart" Target="../charts/chart6.xml"/><Relationship Id="rId4" Type="http://schemas.openxmlformats.org/officeDocument/2006/relationships/chart" Target="../charts/chart2.xml"/><Relationship Id="rId9" Type="http://schemas.openxmlformats.org/officeDocument/2006/relationships/chart" Target="../charts/chart5.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https://chandoo.org/wp/" TargetMode="External"/><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hyperlink" Target="https://chandoo.org/wp/excel-school-program/" TargetMode="Externa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0</xdr:colOff>
      <xdr:row>43</xdr:row>
      <xdr:rowOff>0</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0" y="0"/>
          <a:ext cx="15351404" cy="8255000"/>
        </a:xfrm>
        <a:prstGeom prst="rect">
          <a:avLst/>
        </a:prstGeom>
        <a:solidFill>
          <a:srgbClr val="9FBFAD"/>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6350</xdr:rowOff>
    </xdr:from>
    <xdr:to>
      <xdr:col>3</xdr:col>
      <xdr:colOff>0</xdr:colOff>
      <xdr:row>43</xdr:row>
      <xdr:rowOff>6350</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6350"/>
          <a:ext cx="2019300" cy="8032750"/>
        </a:xfrm>
        <a:prstGeom prst="rect">
          <a:avLst/>
        </a:prstGeom>
        <a:solidFill>
          <a:srgbClr val="003300"/>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206339</xdr:colOff>
      <xdr:row>0</xdr:row>
      <xdr:rowOff>101429</xdr:rowOff>
    </xdr:from>
    <xdr:to>
      <xdr:col>2</xdr:col>
      <xdr:colOff>0</xdr:colOff>
      <xdr:row>3</xdr:row>
      <xdr:rowOff>294</xdr:rowOff>
    </xdr:to>
    <xdr:pic>
      <xdr:nvPicPr>
        <xdr:cNvPr id="4" name="Picture 3">
          <a:extLst>
            <a:ext uri="{FF2B5EF4-FFF2-40B4-BE49-F238E27FC236}">
              <a16:creationId xmlns:a16="http://schemas.microsoft.com/office/drawing/2014/main" id="{687DA6DE-9337-4C9B-AF91-2F7756690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06339" y="101429"/>
          <a:ext cx="1546261" cy="447211"/>
        </a:xfrm>
        <a:prstGeom prst="rect">
          <a:avLst/>
        </a:prstGeom>
      </xdr:spPr>
    </xdr:pic>
    <xdr:clientData/>
  </xdr:twoCellAnchor>
  <xdr:twoCellAnchor>
    <xdr:from>
      <xdr:col>0</xdr:col>
      <xdr:colOff>0</xdr:colOff>
      <xdr:row>10</xdr:row>
      <xdr:rowOff>111304</xdr:rowOff>
    </xdr:from>
    <xdr:to>
      <xdr:col>1</xdr:col>
      <xdr:colOff>1301750</xdr:colOff>
      <xdr:row>12</xdr:row>
      <xdr:rowOff>92254</xdr:rowOff>
    </xdr:to>
    <xdr:sp macro="" textlink="Pivots!I5">
      <xdr:nvSpPr>
        <xdr:cNvPr id="8" name="TextBox 7">
          <a:extLst>
            <a:ext uri="{FF2B5EF4-FFF2-40B4-BE49-F238E27FC236}">
              <a16:creationId xmlns:a16="http://schemas.microsoft.com/office/drawing/2014/main" id="{301C1D99-64C4-45A2-80C7-3A70A041E272}"/>
            </a:ext>
          </a:extLst>
        </xdr:cNvPr>
        <xdr:cNvSpPr txBox="1"/>
      </xdr:nvSpPr>
      <xdr:spPr>
        <a:xfrm>
          <a:off x="0" y="2084689"/>
          <a:ext cx="1536212" cy="352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2D93FDC-1FEE-49A5-A30A-AD0E74618089}" type="TxLink">
            <a:rPr lang="en-US" sz="2000" b="1" i="0" u="none" strike="noStrike">
              <a:solidFill>
                <a:srgbClr val="FFC000"/>
              </a:solidFill>
              <a:effectLst>
                <a:outerShdw blurRad="50800" dist="38100" dir="5400000" algn="t" rotWithShape="0">
                  <a:prstClr val="black">
                    <a:alpha val="40000"/>
                  </a:prstClr>
                </a:outerShdw>
              </a:effectLst>
              <a:latin typeface="+mn-lt"/>
              <a:ea typeface="+mn-ea"/>
              <a:cs typeface="+mn-cs"/>
            </a:rPr>
            <a:pPr marL="0" indent="0"/>
            <a:t>$649.0k</a:t>
          </a:fld>
          <a:endParaRPr lang="en-US" sz="2000" b="1" i="0" u="none" strike="noStrike">
            <a:solidFill>
              <a:srgbClr val="FFC000"/>
            </a:solidFill>
            <a:effectLst>
              <a:outerShdw blurRad="50800" dist="38100" dir="5400000" algn="t" rotWithShape="0">
                <a:prstClr val="black">
                  <a:alpha val="40000"/>
                </a:prstClr>
              </a:outerShdw>
            </a:effectLst>
            <a:latin typeface="+mn-lt"/>
            <a:ea typeface="+mn-ea"/>
            <a:cs typeface="+mn-cs"/>
          </a:endParaRPr>
        </a:p>
      </xdr:txBody>
    </xdr:sp>
    <xdr:clientData/>
  </xdr:twoCellAnchor>
  <xdr:twoCellAnchor>
    <xdr:from>
      <xdr:col>0</xdr:col>
      <xdr:colOff>0</xdr:colOff>
      <xdr:row>4</xdr:row>
      <xdr:rowOff>68616</xdr:rowOff>
    </xdr:from>
    <xdr:to>
      <xdr:col>1</xdr:col>
      <xdr:colOff>830384</xdr:colOff>
      <xdr:row>6</xdr:row>
      <xdr:rowOff>1147</xdr:rowOff>
    </xdr:to>
    <xdr:sp macro="" textlink="Pivots!G5">
      <xdr:nvSpPr>
        <xdr:cNvPr id="5" name="TextBox 4">
          <a:extLst>
            <a:ext uri="{FF2B5EF4-FFF2-40B4-BE49-F238E27FC236}">
              <a16:creationId xmlns:a16="http://schemas.microsoft.com/office/drawing/2014/main" id="{98E3DD09-8257-95FF-6424-68143A297ADF}"/>
            </a:ext>
          </a:extLst>
        </xdr:cNvPr>
        <xdr:cNvSpPr txBox="1"/>
      </xdr:nvSpPr>
      <xdr:spPr>
        <a:xfrm>
          <a:off x="0" y="811078"/>
          <a:ext cx="1064846" cy="420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973C91D-B984-4667-9987-76C1EBD37699}" type="TxLink">
            <a:rPr lang="en-US" sz="1800" b="1" i="0" u="none" strike="noStrike">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mn-lt"/>
            </a:rPr>
            <a:pPr/>
            <a:t>2,400</a:t>
          </a:fld>
          <a:endParaRPr lang="en-US" sz="1800" b="1">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mn-lt"/>
          </a:endParaRPr>
        </a:p>
      </xdr:txBody>
    </xdr:sp>
    <xdr:clientData/>
  </xdr:twoCellAnchor>
  <xdr:twoCellAnchor>
    <xdr:from>
      <xdr:col>0</xdr:col>
      <xdr:colOff>0</xdr:colOff>
      <xdr:row>14</xdr:row>
      <xdr:rowOff>7236</xdr:rowOff>
    </xdr:from>
    <xdr:to>
      <xdr:col>1</xdr:col>
      <xdr:colOff>1301750</xdr:colOff>
      <xdr:row>15</xdr:row>
      <xdr:rowOff>135822</xdr:rowOff>
    </xdr:to>
    <xdr:sp macro="" textlink="Pivots!J5">
      <xdr:nvSpPr>
        <xdr:cNvPr id="9" name="TextBox 8">
          <a:extLst>
            <a:ext uri="{FF2B5EF4-FFF2-40B4-BE49-F238E27FC236}">
              <a16:creationId xmlns:a16="http://schemas.microsoft.com/office/drawing/2014/main" id="{D7BA7A99-80E0-4E33-A577-2A2F9EEF47FB}"/>
            </a:ext>
          </a:extLst>
        </xdr:cNvPr>
        <xdr:cNvSpPr txBox="1"/>
      </xdr:nvSpPr>
      <xdr:spPr>
        <a:xfrm>
          <a:off x="0" y="2699636"/>
          <a:ext cx="1536700" cy="312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2E24E2C-F60D-4B46-9457-D673E0AD46B6}" type="TxLink">
            <a:rPr lang="en-US" sz="1800" b="1" i="0" u="none" strike="noStrike">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mn-lt"/>
              <a:ea typeface="+mn-ea"/>
              <a:cs typeface="+mn-cs"/>
            </a:rPr>
            <a:pPr marL="0" indent="0"/>
            <a:t>4.0</a:t>
          </a:fld>
          <a:endParaRPr lang="en-US" sz="1800" b="1" i="0" u="none" strike="noStrike">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mn-lt"/>
            <a:ea typeface="+mn-ea"/>
            <a:cs typeface="+mn-cs"/>
          </a:endParaRPr>
        </a:p>
      </xdr:txBody>
    </xdr:sp>
    <xdr:clientData/>
  </xdr:twoCellAnchor>
  <xdr:twoCellAnchor>
    <xdr:from>
      <xdr:col>0</xdr:col>
      <xdr:colOff>0</xdr:colOff>
      <xdr:row>17</xdr:row>
      <xdr:rowOff>50800</xdr:rowOff>
    </xdr:from>
    <xdr:to>
      <xdr:col>1</xdr:col>
      <xdr:colOff>1301750</xdr:colOff>
      <xdr:row>19</xdr:row>
      <xdr:rowOff>0</xdr:rowOff>
    </xdr:to>
    <xdr:sp macro="" textlink="Pivots!K5">
      <xdr:nvSpPr>
        <xdr:cNvPr id="10" name="TextBox 9">
          <a:extLst>
            <a:ext uri="{FF2B5EF4-FFF2-40B4-BE49-F238E27FC236}">
              <a16:creationId xmlns:a16="http://schemas.microsoft.com/office/drawing/2014/main" id="{5606C189-D6B9-414F-AB7D-84C3EB6D57F8}"/>
            </a:ext>
          </a:extLst>
        </xdr:cNvPr>
        <xdr:cNvSpPr txBox="1"/>
      </xdr:nvSpPr>
      <xdr:spPr>
        <a:xfrm>
          <a:off x="0" y="3295650"/>
          <a:ext cx="15367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6826D79-EDA3-4C91-AC28-C7E206215148}" type="TxLink">
            <a:rPr lang="en-US" sz="1800" b="1" i="0" u="none" strike="noStrike">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mn-lt"/>
              <a:ea typeface="+mn-ea"/>
              <a:cs typeface="+mn-cs"/>
            </a:rPr>
            <a:pPr marL="0" indent="0"/>
            <a:t>2.3</a:t>
          </a:fld>
          <a:endParaRPr lang="en-US" sz="1800" b="1" i="0" u="none" strike="noStrike">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mn-lt"/>
            <a:ea typeface="+mn-ea"/>
            <a:cs typeface="+mn-cs"/>
          </a:endParaRPr>
        </a:p>
      </xdr:txBody>
    </xdr:sp>
    <xdr:clientData/>
  </xdr:twoCellAnchor>
  <xdr:twoCellAnchor>
    <xdr:from>
      <xdr:col>0</xdr:col>
      <xdr:colOff>0</xdr:colOff>
      <xdr:row>7</xdr:row>
      <xdr:rowOff>0</xdr:rowOff>
    </xdr:from>
    <xdr:to>
      <xdr:col>1</xdr:col>
      <xdr:colOff>1301750</xdr:colOff>
      <xdr:row>8</xdr:row>
      <xdr:rowOff>96043</xdr:rowOff>
    </xdr:to>
    <xdr:sp macro="" textlink="Pivots!H5">
      <xdr:nvSpPr>
        <xdr:cNvPr id="13" name="TextBox 12">
          <a:extLst>
            <a:ext uri="{FF2B5EF4-FFF2-40B4-BE49-F238E27FC236}">
              <a16:creationId xmlns:a16="http://schemas.microsoft.com/office/drawing/2014/main" id="{93A950BF-8101-4045-BE70-B09E65536360}"/>
            </a:ext>
          </a:extLst>
        </xdr:cNvPr>
        <xdr:cNvSpPr txBox="1"/>
      </xdr:nvSpPr>
      <xdr:spPr>
        <a:xfrm>
          <a:off x="0" y="1403350"/>
          <a:ext cx="1536700" cy="280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B9931F7-29D8-4CB2-A353-2182E1CF667C}" type="TxLink">
            <a:rPr lang="en-US" sz="1800" b="1" i="0" u="none" strike="noStrike">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mn-lt"/>
              <a:ea typeface="+mn-ea"/>
              <a:cs typeface="+mn-cs"/>
            </a:rPr>
            <a:pPr marL="0" indent="0"/>
            <a:t>11,997</a:t>
          </a:fld>
          <a:endParaRPr lang="en-US" sz="1800" b="1" i="0" u="none" strike="noStrike">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mn-lt"/>
            <a:ea typeface="+mn-ea"/>
            <a:cs typeface="+mn-cs"/>
          </a:endParaRPr>
        </a:p>
      </xdr:txBody>
    </xdr:sp>
    <xdr:clientData/>
  </xdr:twoCellAnchor>
  <xdr:twoCellAnchor>
    <xdr:from>
      <xdr:col>0</xdr:col>
      <xdr:colOff>0</xdr:colOff>
      <xdr:row>3</xdr:row>
      <xdr:rowOff>0</xdr:rowOff>
    </xdr:from>
    <xdr:to>
      <xdr:col>1</xdr:col>
      <xdr:colOff>1390650</xdr:colOff>
      <xdr:row>4</xdr:row>
      <xdr:rowOff>38100</xdr:rowOff>
    </xdr:to>
    <xdr:sp macro="" textlink="">
      <xdr:nvSpPr>
        <xdr:cNvPr id="14" name="TextBox 13">
          <a:extLst>
            <a:ext uri="{FF2B5EF4-FFF2-40B4-BE49-F238E27FC236}">
              <a16:creationId xmlns:a16="http://schemas.microsoft.com/office/drawing/2014/main" id="{D4406E1C-822D-1392-5A40-9AA06B4548B2}"/>
            </a:ext>
          </a:extLst>
        </xdr:cNvPr>
        <xdr:cNvSpPr txBox="1"/>
      </xdr:nvSpPr>
      <xdr:spPr>
        <a:xfrm>
          <a:off x="0" y="552450"/>
          <a:ext cx="16256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100">
              <a:gradFill>
                <a:gsLst>
                  <a:gs pos="0">
                    <a:schemeClr val="bg1"/>
                  </a:gs>
                  <a:gs pos="70000">
                    <a:schemeClr val="bg1">
                      <a:lumMod val="75000"/>
                    </a:schemeClr>
                  </a:gs>
                </a:gsLst>
                <a:lin ang="0" scaled="0"/>
              </a:gradFill>
            </a:rPr>
            <a:t>Orders</a:t>
          </a:r>
        </a:p>
      </xdr:txBody>
    </xdr:sp>
    <xdr:clientData/>
  </xdr:twoCellAnchor>
  <xdr:twoCellAnchor>
    <xdr:from>
      <xdr:col>0</xdr:col>
      <xdr:colOff>0</xdr:colOff>
      <xdr:row>5</xdr:row>
      <xdr:rowOff>260350</xdr:rowOff>
    </xdr:from>
    <xdr:to>
      <xdr:col>1</xdr:col>
      <xdr:colOff>1390650</xdr:colOff>
      <xdr:row>7</xdr:row>
      <xdr:rowOff>0</xdr:rowOff>
    </xdr:to>
    <xdr:sp macro="" textlink="">
      <xdr:nvSpPr>
        <xdr:cNvPr id="17" name="TextBox 16">
          <a:extLst>
            <a:ext uri="{FF2B5EF4-FFF2-40B4-BE49-F238E27FC236}">
              <a16:creationId xmlns:a16="http://schemas.microsoft.com/office/drawing/2014/main" id="{24D99A8B-9E1B-4DA2-AD47-58FC3DE7A333}"/>
            </a:ext>
          </a:extLst>
        </xdr:cNvPr>
        <xdr:cNvSpPr txBox="1"/>
      </xdr:nvSpPr>
      <xdr:spPr>
        <a:xfrm>
          <a:off x="0" y="1181100"/>
          <a:ext cx="16256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gradFill>
                <a:gsLst>
                  <a:gs pos="0">
                    <a:schemeClr val="bg1"/>
                  </a:gs>
                  <a:gs pos="70000">
                    <a:schemeClr val="bg1">
                      <a:lumMod val="75000"/>
                    </a:schemeClr>
                  </a:gs>
                </a:gsLst>
                <a:lin ang="0" scaled="0"/>
              </a:gradFill>
            </a:rPr>
            <a:t>👕Quantity</a:t>
          </a:r>
        </a:p>
      </xdr:txBody>
    </xdr:sp>
    <xdr:clientData/>
  </xdr:twoCellAnchor>
  <xdr:twoCellAnchor>
    <xdr:from>
      <xdr:col>0</xdr:col>
      <xdr:colOff>0</xdr:colOff>
      <xdr:row>9</xdr:row>
      <xdr:rowOff>42688</xdr:rowOff>
    </xdr:from>
    <xdr:to>
      <xdr:col>1</xdr:col>
      <xdr:colOff>1390650</xdr:colOff>
      <xdr:row>10</xdr:row>
      <xdr:rowOff>80788</xdr:rowOff>
    </xdr:to>
    <xdr:sp macro="" textlink="">
      <xdr:nvSpPr>
        <xdr:cNvPr id="18" name="TextBox 17">
          <a:extLst>
            <a:ext uri="{FF2B5EF4-FFF2-40B4-BE49-F238E27FC236}">
              <a16:creationId xmlns:a16="http://schemas.microsoft.com/office/drawing/2014/main" id="{96F97CE0-E534-4229-ABEA-B86A1A962F80}"/>
            </a:ext>
          </a:extLst>
        </xdr:cNvPr>
        <xdr:cNvSpPr txBox="1"/>
      </xdr:nvSpPr>
      <xdr:spPr>
        <a:xfrm>
          <a:off x="0" y="1814338"/>
          <a:ext cx="16256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gradFill>
                <a:gsLst>
                  <a:gs pos="0">
                    <a:schemeClr val="bg1"/>
                  </a:gs>
                  <a:gs pos="70000">
                    <a:schemeClr val="bg1">
                      <a:lumMod val="75000"/>
                    </a:schemeClr>
                  </a:gs>
                </a:gsLst>
                <a:lin ang="0" scaled="0"/>
              </a:gradFill>
            </a:rPr>
            <a:t>💰Amount</a:t>
          </a:r>
        </a:p>
      </xdr:txBody>
    </xdr:sp>
    <xdr:clientData/>
  </xdr:twoCellAnchor>
  <xdr:twoCellAnchor>
    <xdr:from>
      <xdr:col>0</xdr:col>
      <xdr:colOff>0</xdr:colOff>
      <xdr:row>12</xdr:row>
      <xdr:rowOff>122770</xdr:rowOff>
    </xdr:from>
    <xdr:to>
      <xdr:col>1</xdr:col>
      <xdr:colOff>1390650</xdr:colOff>
      <xdr:row>13</xdr:row>
      <xdr:rowOff>160870</xdr:rowOff>
    </xdr:to>
    <xdr:sp macro="" textlink="">
      <xdr:nvSpPr>
        <xdr:cNvPr id="19" name="TextBox 18">
          <a:extLst>
            <a:ext uri="{FF2B5EF4-FFF2-40B4-BE49-F238E27FC236}">
              <a16:creationId xmlns:a16="http://schemas.microsoft.com/office/drawing/2014/main" id="{D4C70644-AED5-4236-876D-3091B3155909}"/>
            </a:ext>
          </a:extLst>
        </xdr:cNvPr>
        <xdr:cNvSpPr txBox="1"/>
      </xdr:nvSpPr>
      <xdr:spPr>
        <a:xfrm>
          <a:off x="0" y="2446870"/>
          <a:ext cx="16256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gradFill>
                <a:gsLst>
                  <a:gs pos="0">
                    <a:schemeClr val="bg1"/>
                  </a:gs>
                  <a:gs pos="70000">
                    <a:schemeClr val="bg1">
                      <a:lumMod val="75000"/>
                    </a:schemeClr>
                  </a:gs>
                </a:gsLst>
                <a:lin ang="0" scaled="0"/>
              </a:gradFill>
            </a:rPr>
            <a:t>⭐ Avg. Rating</a:t>
          </a:r>
        </a:p>
      </xdr:txBody>
    </xdr:sp>
    <xdr:clientData/>
  </xdr:twoCellAnchor>
  <xdr:twoCellAnchor>
    <xdr:from>
      <xdr:col>0</xdr:col>
      <xdr:colOff>0</xdr:colOff>
      <xdr:row>15</xdr:row>
      <xdr:rowOff>166338</xdr:rowOff>
    </xdr:from>
    <xdr:to>
      <xdr:col>1</xdr:col>
      <xdr:colOff>1390650</xdr:colOff>
      <xdr:row>17</xdr:row>
      <xdr:rowOff>20288</xdr:rowOff>
    </xdr:to>
    <xdr:sp macro="" textlink="">
      <xdr:nvSpPr>
        <xdr:cNvPr id="20" name="TextBox 19">
          <a:extLst>
            <a:ext uri="{FF2B5EF4-FFF2-40B4-BE49-F238E27FC236}">
              <a16:creationId xmlns:a16="http://schemas.microsoft.com/office/drawing/2014/main" id="{8B7BDCF2-5AB0-486F-AC13-ED75428F2CA9}"/>
            </a:ext>
          </a:extLst>
        </xdr:cNvPr>
        <xdr:cNvSpPr txBox="1"/>
      </xdr:nvSpPr>
      <xdr:spPr>
        <a:xfrm>
          <a:off x="0" y="3042888"/>
          <a:ext cx="16256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gradFill>
                <a:gsLst>
                  <a:gs pos="0">
                    <a:schemeClr val="bg1"/>
                  </a:gs>
                  <a:gs pos="70000">
                    <a:schemeClr val="bg1">
                      <a:lumMod val="75000"/>
                    </a:schemeClr>
                  </a:gs>
                </a:gsLst>
                <a:lin ang="0" scaled="0"/>
              </a:gradFill>
            </a:rPr>
            <a:t>🗓️ Days</a:t>
          </a:r>
          <a:r>
            <a:rPr lang="en-IN" sz="1100" baseline="0">
              <a:gradFill>
                <a:gsLst>
                  <a:gs pos="0">
                    <a:schemeClr val="bg1"/>
                  </a:gs>
                  <a:gs pos="70000">
                    <a:schemeClr val="bg1">
                      <a:lumMod val="75000"/>
                    </a:schemeClr>
                  </a:gs>
                </a:gsLst>
                <a:lin ang="0" scaled="0"/>
              </a:gradFill>
            </a:rPr>
            <a:t> to deliver</a:t>
          </a:r>
          <a:endParaRPr lang="en-IN" sz="1100">
            <a:gradFill>
              <a:gsLst>
                <a:gs pos="0">
                  <a:schemeClr val="bg1"/>
                </a:gs>
                <a:gs pos="70000">
                  <a:schemeClr val="bg1">
                    <a:lumMod val="75000"/>
                  </a:schemeClr>
                </a:gs>
              </a:gsLst>
              <a:lin ang="0" scaled="0"/>
            </a:gradFill>
          </a:endParaRPr>
        </a:p>
      </xdr:txBody>
    </xdr:sp>
    <xdr:clientData/>
  </xdr:twoCellAnchor>
  <xdr:twoCellAnchor>
    <xdr:from>
      <xdr:col>3</xdr:col>
      <xdr:colOff>76200</xdr:colOff>
      <xdr:row>0</xdr:row>
      <xdr:rowOff>69850</xdr:rowOff>
    </xdr:from>
    <xdr:to>
      <xdr:col>10</xdr:col>
      <xdr:colOff>107950</xdr:colOff>
      <xdr:row>14</xdr:row>
      <xdr:rowOff>152228</xdr:rowOff>
    </xdr:to>
    <xdr:graphicFrame macro="">
      <xdr:nvGraphicFramePr>
        <xdr:cNvPr id="22" name="Chart 21">
          <a:extLst>
            <a:ext uri="{FF2B5EF4-FFF2-40B4-BE49-F238E27FC236}">
              <a16:creationId xmlns:a16="http://schemas.microsoft.com/office/drawing/2014/main" id="{599A23A2-D441-4B06-9F7F-705B640744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196849</xdr:colOff>
      <xdr:row>0</xdr:row>
      <xdr:rowOff>101428</xdr:rowOff>
    </xdr:from>
    <xdr:to>
      <xdr:col>17</xdr:col>
      <xdr:colOff>501315</xdr:colOff>
      <xdr:row>14</xdr:row>
      <xdr:rowOff>167105</xdr:rowOff>
    </xdr:to>
    <xdr:sp macro="" textlink="">
      <xdr:nvSpPr>
        <xdr:cNvPr id="34" name="Rectangle 33">
          <a:extLst>
            <a:ext uri="{FF2B5EF4-FFF2-40B4-BE49-F238E27FC236}">
              <a16:creationId xmlns:a16="http://schemas.microsoft.com/office/drawing/2014/main" id="{DAF470DE-350F-F5C5-C38A-6F97E964664F}"/>
            </a:ext>
          </a:extLst>
        </xdr:cNvPr>
        <xdr:cNvSpPr/>
      </xdr:nvSpPr>
      <xdr:spPr>
        <a:xfrm>
          <a:off x="6123516" y="101428"/>
          <a:ext cx="4593501" cy="282848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10</xdr:col>
          <xdr:colOff>229483</xdr:colOff>
          <xdr:row>2</xdr:row>
          <xdr:rowOff>175846</xdr:rowOff>
        </xdr:from>
        <xdr:to>
          <xdr:col>17</xdr:col>
          <xdr:colOff>460868</xdr:colOff>
          <xdr:row>14</xdr:row>
          <xdr:rowOff>134061</xdr:rowOff>
        </xdr:to>
        <xdr:pic>
          <xdr:nvPicPr>
            <xdr:cNvPr id="33" name="Picture 32">
              <a:extLst>
                <a:ext uri="{FF2B5EF4-FFF2-40B4-BE49-F238E27FC236}">
                  <a16:creationId xmlns:a16="http://schemas.microsoft.com/office/drawing/2014/main" id="{AE56BB77-9D8C-E5A9-2533-43BB9E95B1D7}"/>
                </a:ext>
              </a:extLst>
            </xdr:cNvPr>
            <xdr:cNvPicPr>
              <a:picLocks noChangeAspect="1" noChangeArrowheads="1"/>
              <a:extLst>
                <a:ext uri="{84589F7E-364E-4C9E-8A38-B11213B215E9}">
                  <a14:cameraTool cellRange="Sheet2!$H$4:$L$9" spid="_x0000_s1077"/>
                </a:ext>
              </a:extLst>
            </xdr:cNvPicPr>
          </xdr:nvPicPr>
          <xdr:blipFill>
            <a:blip xmlns:r="http://schemas.openxmlformats.org/officeDocument/2006/relationships" r:embed="rId3"/>
            <a:srcRect/>
            <a:stretch>
              <a:fillRect/>
            </a:stretch>
          </xdr:blipFill>
          <xdr:spPr bwMode="auto">
            <a:xfrm>
              <a:off x="6120329" y="547077"/>
              <a:ext cx="4471231" cy="230283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18</xdr:col>
      <xdr:colOff>1</xdr:colOff>
      <xdr:row>0</xdr:row>
      <xdr:rowOff>101428</xdr:rowOff>
    </xdr:from>
    <xdr:to>
      <xdr:col>25</xdr:col>
      <xdr:colOff>130120</xdr:colOff>
      <xdr:row>14</xdr:row>
      <xdr:rowOff>152228</xdr:rowOff>
    </xdr:to>
    <xdr:graphicFrame macro="">
      <xdr:nvGraphicFramePr>
        <xdr:cNvPr id="35" name="Chart 34">
          <a:extLst>
            <a:ext uri="{FF2B5EF4-FFF2-40B4-BE49-F238E27FC236}">
              <a16:creationId xmlns:a16="http://schemas.microsoft.com/office/drawing/2014/main" id="{C5A0B2D8-0C08-4C0A-96CB-3A2D09ED04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100263</xdr:colOff>
      <xdr:row>15</xdr:row>
      <xdr:rowOff>89122</xdr:rowOff>
    </xdr:from>
    <xdr:to>
      <xdr:col>12</xdr:col>
      <xdr:colOff>479035</xdr:colOff>
      <xdr:row>42</xdr:row>
      <xdr:rowOff>66841</xdr:rowOff>
    </xdr:to>
    <xdr:graphicFrame macro="">
      <xdr:nvGraphicFramePr>
        <xdr:cNvPr id="36" name="Chart 35">
          <a:extLst>
            <a:ext uri="{FF2B5EF4-FFF2-40B4-BE49-F238E27FC236}">
              <a16:creationId xmlns:a16="http://schemas.microsoft.com/office/drawing/2014/main" id="{C88E6BB2-2591-4942-8A5E-21D6116468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610380</xdr:colOff>
      <xdr:row>33</xdr:row>
      <xdr:rowOff>14148</xdr:rowOff>
    </xdr:from>
    <xdr:to>
      <xdr:col>10</xdr:col>
      <xdr:colOff>521480</xdr:colOff>
      <xdr:row>41</xdr:row>
      <xdr:rowOff>173903</xdr:rowOff>
    </xdr:to>
    <xdr:graphicFrame macro="">
      <xdr:nvGraphicFramePr>
        <xdr:cNvPr id="37" name="Chart 36">
          <a:extLst>
            <a:ext uri="{FF2B5EF4-FFF2-40B4-BE49-F238E27FC236}">
              <a16:creationId xmlns:a16="http://schemas.microsoft.com/office/drawing/2014/main" id="{1F64CDFB-234B-4EDA-8577-3B4C4F0149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545877</xdr:colOff>
      <xdr:row>15</xdr:row>
      <xdr:rowOff>89121</xdr:rowOff>
    </xdr:from>
    <xdr:to>
      <xdr:col>17</xdr:col>
      <xdr:colOff>490176</xdr:colOff>
      <xdr:row>42</xdr:row>
      <xdr:rowOff>50130</xdr:rowOff>
    </xdr:to>
    <mc:AlternateContent xmlns:mc="http://schemas.openxmlformats.org/markup-compatibility/2006">
      <mc:Choice xmlns:cx4="http://schemas.microsoft.com/office/drawing/2016/5/10/chartex" Requires="cx4">
        <xdr:graphicFrame macro="">
          <xdr:nvGraphicFramePr>
            <xdr:cNvPr id="38" name="Chart 37">
              <a:extLst>
                <a:ext uri="{FF2B5EF4-FFF2-40B4-BE49-F238E27FC236}">
                  <a16:creationId xmlns:a16="http://schemas.microsoft.com/office/drawing/2014/main" id="{50B08145-DD32-4102-BBAD-E9AAC909422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614430" y="2963332"/>
              <a:ext cx="2952193" cy="492403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412193</xdr:colOff>
      <xdr:row>20</xdr:row>
      <xdr:rowOff>55702</xdr:rowOff>
    </xdr:from>
    <xdr:to>
      <xdr:col>17</xdr:col>
      <xdr:colOff>323069</xdr:colOff>
      <xdr:row>29</xdr:row>
      <xdr:rowOff>44562</xdr:rowOff>
    </xdr:to>
    <mc:AlternateContent xmlns:mc="http://schemas.openxmlformats.org/markup-compatibility/2006">
      <mc:Choice xmlns:cx4="http://schemas.microsoft.com/office/drawing/2016/5/10/chartex" Requires="cx4">
        <xdr:graphicFrame macro="">
          <xdr:nvGraphicFramePr>
            <xdr:cNvPr id="40" name="Chart 39">
              <a:extLst>
                <a:ext uri="{FF2B5EF4-FFF2-40B4-BE49-F238E27FC236}">
                  <a16:creationId xmlns:a16="http://schemas.microsoft.com/office/drawing/2014/main" id="{832FBDF3-BBA5-DA81-AD22-F5AE2F142BF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9372043" y="3853002"/>
              <a:ext cx="1130076" cy="16462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601578</xdr:colOff>
      <xdr:row>15</xdr:row>
      <xdr:rowOff>119870</xdr:rowOff>
    </xdr:from>
    <xdr:to>
      <xdr:col>25</xdr:col>
      <xdr:colOff>118978</xdr:colOff>
      <xdr:row>28</xdr:row>
      <xdr:rowOff>0</xdr:rowOff>
    </xdr:to>
    <xdr:graphicFrame macro="">
      <xdr:nvGraphicFramePr>
        <xdr:cNvPr id="41" name="Chart 40">
          <a:extLst>
            <a:ext uri="{FF2B5EF4-FFF2-40B4-BE49-F238E27FC236}">
              <a16:creationId xmlns:a16="http://schemas.microsoft.com/office/drawing/2014/main" id="{187725CE-0DA1-4CDD-B33C-23E6D46FD1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16710</xdr:colOff>
      <xdr:row>28</xdr:row>
      <xdr:rowOff>116977</xdr:rowOff>
    </xdr:from>
    <xdr:to>
      <xdr:col>25</xdr:col>
      <xdr:colOff>116974</xdr:colOff>
      <xdr:row>42</xdr:row>
      <xdr:rowOff>33422</xdr:rowOff>
    </xdr:to>
    <xdr:graphicFrame macro="">
      <xdr:nvGraphicFramePr>
        <xdr:cNvPr id="11" name="Chart 10">
          <a:extLst>
            <a:ext uri="{FF2B5EF4-FFF2-40B4-BE49-F238E27FC236}">
              <a16:creationId xmlns:a16="http://schemas.microsoft.com/office/drawing/2014/main" id="{3FA317CB-01D4-857A-89B9-B76844E442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77982</xdr:colOff>
      <xdr:row>19</xdr:row>
      <xdr:rowOff>167105</xdr:rowOff>
    </xdr:from>
    <xdr:to>
      <xdr:col>2</xdr:col>
      <xdr:colOff>124326</xdr:colOff>
      <xdr:row>30</xdr:row>
      <xdr:rowOff>11141</xdr:rowOff>
    </xdr:to>
    <mc:AlternateContent xmlns:mc="http://schemas.openxmlformats.org/markup-compatibility/2006">
      <mc:Choice xmlns:a14="http://schemas.microsoft.com/office/drawing/2010/main" Requires="a14">
        <xdr:graphicFrame macro="">
          <xdr:nvGraphicFramePr>
            <xdr:cNvPr id="6" name="Order Mode">
              <a:extLst>
                <a:ext uri="{FF2B5EF4-FFF2-40B4-BE49-F238E27FC236}">
                  <a16:creationId xmlns:a16="http://schemas.microsoft.com/office/drawing/2014/main" id="{BC2BC625-AE83-4925-9EB1-76385DD60077}"/>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77982" y="3754855"/>
              <a:ext cx="1832282" cy="1852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68179</xdr:colOff>
      <xdr:row>31</xdr:row>
      <xdr:rowOff>33422</xdr:rowOff>
    </xdr:from>
    <xdr:to>
      <xdr:col>2</xdr:col>
      <xdr:colOff>114523</xdr:colOff>
      <xdr:row>40</xdr:row>
      <xdr:rowOff>1</xdr:rowOff>
    </xdr:to>
    <mc:AlternateContent xmlns:mc="http://schemas.openxmlformats.org/markup-compatibility/2006">
      <mc:Choice xmlns:a14="http://schemas.microsoft.com/office/drawing/2010/main" Requires="a14">
        <xdr:graphicFrame macro="">
          <xdr:nvGraphicFramePr>
            <xdr:cNvPr id="7" name="Gender Value">
              <a:extLst>
                <a:ext uri="{FF2B5EF4-FFF2-40B4-BE49-F238E27FC236}">
                  <a16:creationId xmlns:a16="http://schemas.microsoft.com/office/drawing/2014/main" id="{535242F7-BA8C-42B1-87CF-179A573B084A}"/>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68179" y="5811922"/>
              <a:ext cx="1832282" cy="16096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0</xdr:colOff>
      <xdr:row>1</xdr:row>
      <xdr:rowOff>0</xdr:rowOff>
    </xdr:from>
    <xdr:to>
      <xdr:col>16</xdr:col>
      <xdr:colOff>459154</xdr:colOff>
      <xdr:row>2</xdr:row>
      <xdr:rowOff>175846</xdr:rowOff>
    </xdr:to>
    <xdr:sp macro="" textlink="">
      <xdr:nvSpPr>
        <xdr:cNvPr id="12" name="TextBox 11">
          <a:extLst>
            <a:ext uri="{FF2B5EF4-FFF2-40B4-BE49-F238E27FC236}">
              <a16:creationId xmlns:a16="http://schemas.microsoft.com/office/drawing/2014/main" id="{8E1BE4E2-CC62-F215-590F-DBE3985BC8EF}"/>
            </a:ext>
          </a:extLst>
        </xdr:cNvPr>
        <xdr:cNvSpPr txBox="1"/>
      </xdr:nvSpPr>
      <xdr:spPr>
        <a:xfrm>
          <a:off x="7102231" y="185615"/>
          <a:ext cx="2881923" cy="3614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How they like to buy?</a:t>
          </a:r>
        </a:p>
      </xdr:txBody>
    </xdr:sp>
    <xdr:clientData/>
  </xdr:twoCellAnchor>
  <xdr:twoCellAnchor>
    <xdr:from>
      <xdr:col>1</xdr:col>
      <xdr:colOff>611194</xdr:colOff>
      <xdr:row>4</xdr:row>
      <xdr:rowOff>95249</xdr:rowOff>
    </xdr:from>
    <xdr:to>
      <xdr:col>2</xdr:col>
      <xdr:colOff>119063</xdr:colOff>
      <xdr:row>5</xdr:row>
      <xdr:rowOff>238123</xdr:rowOff>
    </xdr:to>
    <xdr:sp macro="" textlink="Pivots!B36">
      <xdr:nvSpPr>
        <xdr:cNvPr id="16" name="TextBox 15">
          <a:extLst>
            <a:ext uri="{FF2B5EF4-FFF2-40B4-BE49-F238E27FC236}">
              <a16:creationId xmlns:a16="http://schemas.microsoft.com/office/drawing/2014/main" id="{B9F2211B-822A-2D3E-EE6F-B54D531258B0}"/>
            </a:ext>
          </a:extLst>
        </xdr:cNvPr>
        <xdr:cNvSpPr txBox="1"/>
      </xdr:nvSpPr>
      <xdr:spPr>
        <a:xfrm>
          <a:off x="849319" y="825499"/>
          <a:ext cx="1055682" cy="325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90B96A0-4A10-4FE3-947F-233B51A5704A}" type="TxLink">
            <a:rPr lang="en-US" sz="1800" b="1" i="0" u="none" strike="noStrike">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mn-lt"/>
              <a:ea typeface="+mn-ea"/>
              <a:cs typeface="+mn-cs"/>
            </a:rPr>
            <a:pPr marL="0" indent="0" algn="ctr"/>
            <a:t>291</a:t>
          </a:fld>
          <a:endParaRPr lang="en-IN" sz="1800" b="1" i="0" u="none" strike="noStrike">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mn-lt"/>
            <a:ea typeface="+mn-ea"/>
            <a:cs typeface="+mn-cs"/>
          </a:endParaRPr>
        </a:p>
      </xdr:txBody>
    </xdr:sp>
    <xdr:clientData/>
  </xdr:twoCellAnchor>
  <xdr:twoCellAnchor>
    <xdr:from>
      <xdr:col>1</xdr:col>
      <xdr:colOff>674688</xdr:colOff>
      <xdr:row>7</xdr:row>
      <xdr:rowOff>25399</xdr:rowOff>
    </xdr:from>
    <xdr:to>
      <xdr:col>1</xdr:col>
      <xdr:colOff>1501775</xdr:colOff>
      <xdr:row>8</xdr:row>
      <xdr:rowOff>168273</xdr:rowOff>
    </xdr:to>
    <xdr:sp macro="" textlink="Pivots!B25">
      <xdr:nvSpPr>
        <xdr:cNvPr id="21" name="TextBox 20">
          <a:extLst>
            <a:ext uri="{FF2B5EF4-FFF2-40B4-BE49-F238E27FC236}">
              <a16:creationId xmlns:a16="http://schemas.microsoft.com/office/drawing/2014/main" id="{2ACF6059-8B7A-4F97-9F60-92E651C4A62B}"/>
            </a:ext>
          </a:extLst>
        </xdr:cNvPr>
        <xdr:cNvSpPr txBox="1"/>
      </xdr:nvSpPr>
      <xdr:spPr>
        <a:xfrm>
          <a:off x="912813" y="1422399"/>
          <a:ext cx="827087" cy="325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E0D2C69-3F59-4444-BCBB-60FFC93CAF53}" type="TxLink">
            <a:rPr lang="en-US" sz="1800" b="1" i="0" u="none" strike="noStrike">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mn-lt"/>
              <a:ea typeface="+mn-ea"/>
              <a:cs typeface="+mn-cs"/>
            </a:rPr>
            <a:pPr marL="0" indent="0" algn="ctr"/>
            <a:t>1312</a:t>
          </a:fld>
          <a:endParaRPr lang="en-IN" sz="1800" b="1" i="0" u="none" strike="noStrike">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mn-lt"/>
            <a:ea typeface="+mn-ea"/>
            <a:cs typeface="+mn-cs"/>
          </a:endParaRPr>
        </a:p>
      </xdr:txBody>
    </xdr:sp>
    <xdr:clientData/>
  </xdr:twoCellAnchor>
  <xdr:twoCellAnchor>
    <xdr:from>
      <xdr:col>1</xdr:col>
      <xdr:colOff>682626</xdr:colOff>
      <xdr:row>11</xdr:row>
      <xdr:rowOff>19051</xdr:rowOff>
    </xdr:from>
    <xdr:to>
      <xdr:col>1</xdr:col>
      <xdr:colOff>1511302</xdr:colOff>
      <xdr:row>12</xdr:row>
      <xdr:rowOff>161925</xdr:rowOff>
    </xdr:to>
    <xdr:sp macro="" textlink="Pivots!C25">
      <xdr:nvSpPr>
        <xdr:cNvPr id="23" name="TextBox 22">
          <a:extLst>
            <a:ext uri="{FF2B5EF4-FFF2-40B4-BE49-F238E27FC236}">
              <a16:creationId xmlns:a16="http://schemas.microsoft.com/office/drawing/2014/main" id="{54739B15-475F-4CB3-908B-10B582D76EE3}"/>
            </a:ext>
          </a:extLst>
        </xdr:cNvPr>
        <xdr:cNvSpPr txBox="1"/>
      </xdr:nvSpPr>
      <xdr:spPr>
        <a:xfrm>
          <a:off x="920751" y="2146301"/>
          <a:ext cx="828676" cy="325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93FA76F-B49B-498D-966B-1D021E844ABD}" type="TxLink">
            <a:rPr lang="en-US" sz="1200" b="1" i="0" u="none" strike="noStrike">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mn-lt"/>
              <a:ea typeface="+mn-ea"/>
              <a:cs typeface="+mn-cs"/>
            </a:rPr>
            <a:pPr marL="0" indent="0" algn="ctr"/>
            <a:t>$81,271</a:t>
          </a:fld>
          <a:endParaRPr lang="en-IN" sz="1200" b="1" i="0" u="none" strike="noStrike">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mn-lt"/>
            <a:ea typeface="+mn-ea"/>
            <a:cs typeface="+mn-cs"/>
          </a:endParaRPr>
        </a:p>
      </xdr:txBody>
    </xdr:sp>
    <xdr:clientData/>
  </xdr:twoCellAnchor>
  <xdr:twoCellAnchor>
    <xdr:from>
      <xdr:col>1</xdr:col>
      <xdr:colOff>714371</xdr:colOff>
      <xdr:row>14</xdr:row>
      <xdr:rowOff>28573</xdr:rowOff>
    </xdr:from>
    <xdr:to>
      <xdr:col>1</xdr:col>
      <xdr:colOff>1484313</xdr:colOff>
      <xdr:row>15</xdr:row>
      <xdr:rowOff>171448</xdr:rowOff>
    </xdr:to>
    <xdr:sp macro="" textlink="Pivots!D4">
      <xdr:nvSpPr>
        <xdr:cNvPr id="24" name="TextBox 23">
          <a:extLst>
            <a:ext uri="{FF2B5EF4-FFF2-40B4-BE49-F238E27FC236}">
              <a16:creationId xmlns:a16="http://schemas.microsoft.com/office/drawing/2014/main" id="{BF8AB024-FC00-402F-BB37-428ED81F2D5E}"/>
            </a:ext>
          </a:extLst>
        </xdr:cNvPr>
        <xdr:cNvSpPr txBox="1"/>
      </xdr:nvSpPr>
      <xdr:spPr>
        <a:xfrm>
          <a:off x="952496" y="2703511"/>
          <a:ext cx="769942" cy="325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F10E3FB-0221-484A-B01D-B16E613D90D7}" type="TxLink">
            <a:rPr lang="en-US" sz="1800" b="1" i="0" u="none" strike="noStrike">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mn-lt"/>
              <a:ea typeface="+mn-ea"/>
              <a:cs typeface="+mn-cs"/>
            </a:rPr>
            <a:pPr marL="0" indent="0" algn="ctr"/>
            <a:t>3.962083333</a:t>
          </a:fld>
          <a:endParaRPr lang="en-IN" sz="1800" b="1" i="0" u="none" strike="noStrike">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mn-lt"/>
            <a:ea typeface="+mn-ea"/>
            <a:cs typeface="+mn-cs"/>
          </a:endParaRPr>
        </a:p>
      </xdr:txBody>
    </xdr:sp>
    <xdr:clientData/>
  </xdr:twoCellAnchor>
  <xdr:twoCellAnchor>
    <xdr:from>
      <xdr:col>1</xdr:col>
      <xdr:colOff>706437</xdr:colOff>
      <xdr:row>17</xdr:row>
      <xdr:rowOff>53974</xdr:rowOff>
    </xdr:from>
    <xdr:to>
      <xdr:col>1</xdr:col>
      <xdr:colOff>1462086</xdr:colOff>
      <xdr:row>19</xdr:row>
      <xdr:rowOff>14286</xdr:rowOff>
    </xdr:to>
    <xdr:sp macro="" textlink="Pivots!K5">
      <xdr:nvSpPr>
        <xdr:cNvPr id="25" name="TextBox 24">
          <a:extLst>
            <a:ext uri="{FF2B5EF4-FFF2-40B4-BE49-F238E27FC236}">
              <a16:creationId xmlns:a16="http://schemas.microsoft.com/office/drawing/2014/main" id="{6A8A5FD5-0AFE-4FF6-87E8-C1E6C0D8EA06}"/>
            </a:ext>
          </a:extLst>
        </xdr:cNvPr>
        <xdr:cNvSpPr txBox="1"/>
      </xdr:nvSpPr>
      <xdr:spPr>
        <a:xfrm>
          <a:off x="944562" y="3276599"/>
          <a:ext cx="755649" cy="325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8A3E481-9A47-43D9-BAD8-333545D86D14}" type="TxLink">
            <a:rPr lang="en-US" sz="1800" b="1" i="0" u="none" strike="noStrike">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mn-lt"/>
              <a:ea typeface="+mn-ea"/>
              <a:cs typeface="+mn-cs"/>
            </a:rPr>
            <a:pPr marL="0" indent="0" algn="ctr"/>
            <a:t>2.3</a:t>
          </a:fld>
          <a:endParaRPr lang="en-IN" sz="1800" b="1" i="0" u="none" strike="noStrike">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4</xdr:col>
      <xdr:colOff>324130</xdr:colOff>
      <xdr:row>3</xdr:row>
      <xdr:rowOff>76322</xdr:rowOff>
    </xdr:to>
    <xdr:pic>
      <xdr:nvPicPr>
        <xdr:cNvPr id="2" name="Picture 1">
          <a:extLst>
            <a:ext uri="{FF2B5EF4-FFF2-40B4-BE49-F238E27FC236}">
              <a16:creationId xmlns:a16="http://schemas.microsoft.com/office/drawing/2014/main" id="{113BF637-9F8C-404F-8B9A-8AB22E64E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19200" y="182880"/>
          <a:ext cx="1543330" cy="442082"/>
        </a:xfrm>
        <a:prstGeom prst="rect">
          <a:avLst/>
        </a:prstGeom>
      </xdr:spPr>
    </xdr:pic>
    <xdr:clientData/>
  </xdr:twoCellAnchor>
  <xdr:twoCellAnchor editAs="oneCell">
    <xdr:from>
      <xdr:col>1</xdr:col>
      <xdr:colOff>0</xdr:colOff>
      <xdr:row>27</xdr:row>
      <xdr:rowOff>0</xdr:rowOff>
    </xdr:from>
    <xdr:to>
      <xdr:col>3</xdr:col>
      <xdr:colOff>304800</xdr:colOff>
      <xdr:row>29</xdr:row>
      <xdr:rowOff>67829</xdr:rowOff>
    </xdr:to>
    <xdr:pic>
      <xdr:nvPicPr>
        <xdr:cNvPr id="3" name="Picture 2">
          <a:hlinkClick xmlns:r="http://schemas.openxmlformats.org/officeDocument/2006/relationships" r:id="rId2"/>
          <a:extLst>
            <a:ext uri="{FF2B5EF4-FFF2-40B4-BE49-F238E27FC236}">
              <a16:creationId xmlns:a16="http://schemas.microsoft.com/office/drawing/2014/main" id="{602BB025-83F9-4955-BC88-7D277D7994E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8600" y="4937760"/>
          <a:ext cx="1524000" cy="433589"/>
        </a:xfrm>
        <a:prstGeom prst="rect">
          <a:avLst/>
        </a:prstGeom>
      </xdr:spPr>
    </xdr:pic>
    <xdr:clientData/>
  </xdr:twoCellAnchor>
  <xdr:twoCellAnchor editAs="oneCell">
    <xdr:from>
      <xdr:col>7</xdr:col>
      <xdr:colOff>1</xdr:colOff>
      <xdr:row>7</xdr:row>
      <xdr:rowOff>1</xdr:rowOff>
    </xdr:from>
    <xdr:to>
      <xdr:col>8</xdr:col>
      <xdr:colOff>1</xdr:colOff>
      <xdr:row>21</xdr:row>
      <xdr:rowOff>1</xdr:rowOff>
    </xdr:to>
    <xdr:pic>
      <xdr:nvPicPr>
        <xdr:cNvPr id="5" name="Picture 4">
          <a:hlinkClick xmlns:r="http://schemas.openxmlformats.org/officeDocument/2006/relationships" r:id="rId4"/>
          <a:extLst>
            <a:ext uri="{FF2B5EF4-FFF2-40B4-BE49-F238E27FC236}">
              <a16:creationId xmlns:a16="http://schemas.microsoft.com/office/drawing/2014/main" id="{87527581-9CC7-32E2-D643-E625DB568FA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86201" y="1280161"/>
          <a:ext cx="2560320" cy="25603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pawar" refreshedDate="46049.482991550925" createdVersion="8" refreshedVersion="8" minRefreshableVersion="3" recordCount="2400" xr:uid="{67A3B32F-EE76-4259-A48B-683FE648A07D}">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7988477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x v="0"/>
    <x v="0"/>
    <x v="0"/>
    <x v="0"/>
    <x v="0"/>
    <x v="0"/>
    <x v="0"/>
    <x v="0"/>
  </r>
  <r>
    <s v="TX500002"/>
    <x v="1"/>
    <x v="1"/>
    <n v="30.6"/>
    <n v="61.2"/>
    <x v="0"/>
    <d v="2025-01-03T00:00:00"/>
    <x v="1"/>
    <x v="0"/>
    <x v="0"/>
    <x v="0"/>
    <x v="1"/>
    <x v="1"/>
    <x v="0"/>
    <x v="1"/>
  </r>
  <r>
    <s v="TX500003"/>
    <x v="2"/>
    <x v="2"/>
    <n v="109.4"/>
    <n v="328.20000000000005"/>
    <x v="0"/>
    <d v="2025-01-04T00:00:00"/>
    <x v="2"/>
    <x v="0"/>
    <x v="1"/>
    <x v="0"/>
    <x v="2"/>
    <x v="2"/>
    <x v="0"/>
    <x v="2"/>
  </r>
  <r>
    <s v="TX500004"/>
    <x v="3"/>
    <x v="3"/>
    <n v="37.700000000000003"/>
    <n v="263.90000000000003"/>
    <x v="0"/>
    <d v="2025-01-02T00:00:00"/>
    <x v="2"/>
    <x v="0"/>
    <x v="0"/>
    <x v="0"/>
    <x v="2"/>
    <x v="3"/>
    <x v="0"/>
    <x v="2"/>
  </r>
  <r>
    <s v="TX500005"/>
    <x v="4"/>
    <x v="2"/>
    <n v="56.7"/>
    <n v="170.10000000000002"/>
    <x v="0"/>
    <d v="2025-01-04T00:00:00"/>
    <x v="2"/>
    <x v="0"/>
    <x v="2"/>
    <x v="0"/>
    <x v="3"/>
    <x v="2"/>
    <x v="0"/>
    <x v="2"/>
  </r>
  <r>
    <s v="TX500006"/>
    <x v="1"/>
    <x v="4"/>
    <n v="83.5"/>
    <n v="1002"/>
    <x v="0"/>
    <d v="2025-01-04T00:00:00"/>
    <x v="1"/>
    <x v="1"/>
    <x v="0"/>
    <x v="0"/>
    <x v="3"/>
    <x v="2"/>
    <x v="0"/>
    <x v="1"/>
  </r>
  <r>
    <s v="TX500007"/>
    <x v="5"/>
    <x v="0"/>
    <n v="55.3"/>
    <n v="55.3"/>
    <x v="0"/>
    <d v="2025-01-02T00:00:00"/>
    <x v="2"/>
    <x v="0"/>
    <x v="0"/>
    <x v="0"/>
    <x v="3"/>
    <x v="3"/>
    <x v="0"/>
    <x v="2"/>
  </r>
  <r>
    <s v="TX500008"/>
    <x v="6"/>
    <x v="1"/>
    <n v="40.299999999999997"/>
    <n v="80.599999999999994"/>
    <x v="0"/>
    <d v="2025-01-02T00:00:00"/>
    <x v="1"/>
    <x v="2"/>
    <x v="2"/>
    <x v="0"/>
    <x v="3"/>
    <x v="3"/>
    <x v="0"/>
    <x v="1"/>
  </r>
  <r>
    <s v="TX500009"/>
    <x v="7"/>
    <x v="5"/>
    <n v="35.700000000000003"/>
    <n v="392.70000000000005"/>
    <x v="0"/>
    <d v="2025-01-02T00:00:00"/>
    <x v="2"/>
    <x v="0"/>
    <x v="0"/>
    <x v="0"/>
    <x v="3"/>
    <x v="3"/>
    <x v="0"/>
    <x v="2"/>
  </r>
  <r>
    <s v="TX500010"/>
    <x v="8"/>
    <x v="3"/>
    <n v="22.4"/>
    <n v="156.79999999999998"/>
    <x v="0"/>
    <d v="2025-01-04T00:00:00"/>
    <x v="1"/>
    <x v="0"/>
    <x v="1"/>
    <x v="0"/>
    <x v="3"/>
    <x v="2"/>
    <x v="0"/>
    <x v="1"/>
  </r>
  <r>
    <s v="TX500011"/>
    <x v="9"/>
    <x v="1"/>
    <n v="54.4"/>
    <n v="108.8"/>
    <x v="0"/>
    <d v="2025-01-07T00:00:00"/>
    <x v="2"/>
    <x v="0"/>
    <x v="0"/>
    <x v="0"/>
    <x v="3"/>
    <x v="4"/>
    <x v="0"/>
    <x v="2"/>
  </r>
  <r>
    <s v="TX500012"/>
    <x v="9"/>
    <x v="1"/>
    <n v="49"/>
    <n v="98"/>
    <x v="0"/>
    <d v="2025-01-03T00:00:00"/>
    <x v="2"/>
    <x v="2"/>
    <x v="1"/>
    <x v="0"/>
    <x v="3"/>
    <x v="1"/>
    <x v="0"/>
    <x v="2"/>
  </r>
  <r>
    <s v="TX500013"/>
    <x v="5"/>
    <x v="3"/>
    <n v="118.6"/>
    <n v="830.19999999999993"/>
    <x v="0"/>
    <d v="2025-01-05T00:00:00"/>
    <x v="2"/>
    <x v="1"/>
    <x v="0"/>
    <x v="0"/>
    <x v="4"/>
    <x v="5"/>
    <x v="0"/>
    <x v="2"/>
  </r>
  <r>
    <s v="TX500014"/>
    <x v="6"/>
    <x v="6"/>
    <n v="88.4"/>
    <n v="2386.8000000000002"/>
    <x v="0"/>
    <d v="2025-01-08T00:00:00"/>
    <x v="1"/>
    <x v="3"/>
    <x v="0"/>
    <x v="0"/>
    <x v="5"/>
    <x v="6"/>
    <x v="0"/>
    <x v="1"/>
  </r>
  <r>
    <s v="TX500015"/>
    <x v="10"/>
    <x v="0"/>
    <n v="66.7"/>
    <n v="66.7"/>
    <x v="0"/>
    <d v="2025-01-04T00:00:00"/>
    <x v="1"/>
    <x v="0"/>
    <x v="0"/>
    <x v="0"/>
    <x v="6"/>
    <x v="2"/>
    <x v="0"/>
    <x v="1"/>
  </r>
  <r>
    <s v="TX500016"/>
    <x v="9"/>
    <x v="7"/>
    <n v="30.9"/>
    <n v="309"/>
    <x v="0"/>
    <d v="2025-01-02T00:00:00"/>
    <x v="1"/>
    <x v="1"/>
    <x v="2"/>
    <x v="0"/>
    <x v="6"/>
    <x v="3"/>
    <x v="0"/>
    <x v="1"/>
  </r>
  <r>
    <s v="TX500017"/>
    <x v="4"/>
    <x v="2"/>
    <n v="31.1"/>
    <n v="93.300000000000011"/>
    <x v="0"/>
    <d v="2025-01-02T00:00:00"/>
    <x v="2"/>
    <x v="0"/>
    <x v="1"/>
    <x v="0"/>
    <x v="6"/>
    <x v="3"/>
    <x v="0"/>
    <x v="2"/>
  </r>
  <r>
    <s v="TX500018"/>
    <x v="7"/>
    <x v="2"/>
    <n v="36.6"/>
    <n v="109.80000000000001"/>
    <x v="0"/>
    <d v="2025-01-04T00:00:00"/>
    <x v="2"/>
    <x v="0"/>
    <x v="0"/>
    <x v="0"/>
    <x v="7"/>
    <x v="2"/>
    <x v="0"/>
    <x v="2"/>
  </r>
  <r>
    <s v="TX500019"/>
    <x v="6"/>
    <x v="8"/>
    <n v="51.1"/>
    <n v="408.8"/>
    <x v="0"/>
    <d v="2025-01-04T00:00:00"/>
    <x v="2"/>
    <x v="2"/>
    <x v="3"/>
    <x v="0"/>
    <x v="7"/>
    <x v="2"/>
    <x v="0"/>
    <x v="2"/>
  </r>
  <r>
    <s v="TX500020"/>
    <x v="9"/>
    <x v="0"/>
    <n v="25.2"/>
    <n v="25.2"/>
    <x v="0"/>
    <d v="2025-01-02T00:00:00"/>
    <x v="2"/>
    <x v="1"/>
    <x v="2"/>
    <x v="0"/>
    <x v="8"/>
    <x v="3"/>
    <x v="0"/>
    <x v="2"/>
  </r>
  <r>
    <s v="TX500021"/>
    <x v="9"/>
    <x v="9"/>
    <n v="43.8"/>
    <n v="219"/>
    <x v="0"/>
    <d v="2025-01-04T00:00:00"/>
    <x v="2"/>
    <x v="2"/>
    <x v="0"/>
    <x v="0"/>
    <x v="8"/>
    <x v="2"/>
    <x v="0"/>
    <x v="2"/>
  </r>
  <r>
    <s v="TX500022"/>
    <x v="8"/>
    <x v="4"/>
    <n v="46.7"/>
    <n v="560.40000000000009"/>
    <x v="0"/>
    <d v="2025-01-02T00:00:00"/>
    <x v="2"/>
    <x v="1"/>
    <x v="1"/>
    <x v="0"/>
    <x v="8"/>
    <x v="3"/>
    <x v="0"/>
    <x v="2"/>
  </r>
  <r>
    <s v="TX500023"/>
    <x v="3"/>
    <x v="10"/>
    <n v="79.900000000000006"/>
    <n v="1518.1000000000001"/>
    <x v="0"/>
    <d v="2025-01-02T00:00:00"/>
    <x v="1"/>
    <x v="0"/>
    <x v="2"/>
    <x v="0"/>
    <x v="8"/>
    <x v="3"/>
    <x v="0"/>
    <x v="1"/>
  </r>
  <r>
    <s v="TX500024"/>
    <x v="11"/>
    <x v="8"/>
    <n v="26.4"/>
    <n v="211.2"/>
    <x v="0"/>
    <d v="2025-01-02T00:00:00"/>
    <x v="2"/>
    <x v="3"/>
    <x v="0"/>
    <x v="0"/>
    <x v="8"/>
    <x v="3"/>
    <x v="0"/>
    <x v="2"/>
  </r>
  <r>
    <s v="TX500025"/>
    <x v="12"/>
    <x v="8"/>
    <n v="88.8"/>
    <n v="710.4"/>
    <x v="0"/>
    <d v="2025-01-02T00:00:00"/>
    <x v="2"/>
    <x v="4"/>
    <x v="0"/>
    <x v="0"/>
    <x v="8"/>
    <x v="3"/>
    <x v="0"/>
    <x v="2"/>
  </r>
  <r>
    <s v="TX500026"/>
    <x v="0"/>
    <x v="7"/>
    <n v="17.5"/>
    <n v="175"/>
    <x v="0"/>
    <d v="2025-01-02T00:00:00"/>
    <x v="2"/>
    <x v="2"/>
    <x v="0"/>
    <x v="0"/>
    <x v="9"/>
    <x v="3"/>
    <x v="0"/>
    <x v="2"/>
  </r>
  <r>
    <s v="TX500027"/>
    <x v="1"/>
    <x v="11"/>
    <n v="38.700000000000003"/>
    <n v="348.3"/>
    <x v="0"/>
    <d v="2025-01-04T00:00:00"/>
    <x v="1"/>
    <x v="1"/>
    <x v="0"/>
    <x v="0"/>
    <x v="10"/>
    <x v="2"/>
    <x v="0"/>
    <x v="1"/>
  </r>
  <r>
    <s v="TX500028"/>
    <x v="13"/>
    <x v="12"/>
    <n v="57.2"/>
    <n v="228.8"/>
    <x v="0"/>
    <d v="2025-01-03T00:00:00"/>
    <x v="0"/>
    <x v="1"/>
    <x v="2"/>
    <x v="0"/>
    <x v="11"/>
    <x v="1"/>
    <x v="0"/>
    <x v="0"/>
  </r>
  <r>
    <s v="TX500029"/>
    <x v="6"/>
    <x v="9"/>
    <n v="50.9"/>
    <n v="254.5"/>
    <x v="0"/>
    <d v="2025-01-07T00:00:00"/>
    <x v="0"/>
    <x v="1"/>
    <x v="2"/>
    <x v="0"/>
    <x v="12"/>
    <x v="4"/>
    <x v="0"/>
    <x v="0"/>
  </r>
  <r>
    <s v="TX500030"/>
    <x v="14"/>
    <x v="3"/>
    <n v="41"/>
    <n v="287"/>
    <x v="0"/>
    <d v="2025-01-05T00:00:00"/>
    <x v="2"/>
    <x v="1"/>
    <x v="0"/>
    <x v="0"/>
    <x v="13"/>
    <x v="5"/>
    <x v="0"/>
    <x v="2"/>
  </r>
  <r>
    <s v="TX500031"/>
    <x v="8"/>
    <x v="3"/>
    <n v="19.100000000000001"/>
    <n v="133.70000000000002"/>
    <x v="0"/>
    <d v="2025-01-05T00:00:00"/>
    <x v="1"/>
    <x v="0"/>
    <x v="2"/>
    <x v="0"/>
    <x v="14"/>
    <x v="5"/>
    <x v="0"/>
    <x v="1"/>
  </r>
  <r>
    <s v="TX500032"/>
    <x v="2"/>
    <x v="9"/>
    <n v="166.1"/>
    <n v="830.5"/>
    <x v="0"/>
    <d v="2025-01-04T00:00:00"/>
    <x v="1"/>
    <x v="0"/>
    <x v="0"/>
    <x v="0"/>
    <x v="15"/>
    <x v="2"/>
    <x v="0"/>
    <x v="1"/>
  </r>
  <r>
    <s v="TX500033"/>
    <x v="4"/>
    <x v="2"/>
    <n v="29.9"/>
    <n v="89.699999999999989"/>
    <x v="0"/>
    <d v="2025-01-02T00:00:00"/>
    <x v="1"/>
    <x v="3"/>
    <x v="0"/>
    <x v="0"/>
    <x v="3"/>
    <x v="3"/>
    <x v="0"/>
    <x v="1"/>
  </r>
  <r>
    <s v="TX500034"/>
    <x v="10"/>
    <x v="13"/>
    <n v="21.7"/>
    <n v="130.19999999999999"/>
    <x v="0"/>
    <d v="2025-01-03T00:00:00"/>
    <x v="3"/>
    <x v="2"/>
    <x v="2"/>
    <x v="0"/>
    <x v="3"/>
    <x v="1"/>
    <x v="0"/>
    <x v="3"/>
  </r>
  <r>
    <s v="TX500035"/>
    <x v="11"/>
    <x v="1"/>
    <n v="32"/>
    <n v="64"/>
    <x v="0"/>
    <d v="2025-01-04T00:00:00"/>
    <x v="1"/>
    <x v="0"/>
    <x v="2"/>
    <x v="0"/>
    <x v="3"/>
    <x v="2"/>
    <x v="0"/>
    <x v="1"/>
  </r>
  <r>
    <s v="TX500036"/>
    <x v="8"/>
    <x v="1"/>
    <n v="15.8"/>
    <n v="31.6"/>
    <x v="0"/>
    <d v="2025-01-02T00:00:00"/>
    <x v="1"/>
    <x v="4"/>
    <x v="2"/>
    <x v="0"/>
    <x v="3"/>
    <x v="3"/>
    <x v="0"/>
    <x v="1"/>
  </r>
  <r>
    <s v="TX500037"/>
    <x v="2"/>
    <x v="14"/>
    <n v="203.1"/>
    <n v="3452.7"/>
    <x v="0"/>
    <d v="2025-01-05T00:00:00"/>
    <x v="1"/>
    <x v="3"/>
    <x v="1"/>
    <x v="0"/>
    <x v="3"/>
    <x v="5"/>
    <x v="0"/>
    <x v="1"/>
  </r>
  <r>
    <s v="TX500038"/>
    <x v="7"/>
    <x v="15"/>
    <n v="39"/>
    <n v="507"/>
    <x v="0"/>
    <d v="2025-01-07T00:00:00"/>
    <x v="1"/>
    <x v="0"/>
    <x v="2"/>
    <x v="0"/>
    <x v="3"/>
    <x v="4"/>
    <x v="0"/>
    <x v="1"/>
  </r>
  <r>
    <s v="TX500039"/>
    <x v="10"/>
    <x v="0"/>
    <n v="26.5"/>
    <n v="26.5"/>
    <x v="1"/>
    <d v="2025-01-03T00:00:00"/>
    <x v="1"/>
    <x v="2"/>
    <x v="0"/>
    <x v="0"/>
    <x v="3"/>
    <x v="3"/>
    <x v="0"/>
    <x v="1"/>
  </r>
  <r>
    <s v="TX500040"/>
    <x v="5"/>
    <x v="0"/>
    <n v="43.1"/>
    <n v="43.1"/>
    <x v="1"/>
    <d v="2025-01-03T00:00:00"/>
    <x v="2"/>
    <x v="2"/>
    <x v="1"/>
    <x v="0"/>
    <x v="3"/>
    <x v="3"/>
    <x v="0"/>
    <x v="2"/>
  </r>
  <r>
    <s v="TX500041"/>
    <x v="1"/>
    <x v="2"/>
    <n v="139"/>
    <n v="417"/>
    <x v="1"/>
    <d v="2025-01-03T00:00:00"/>
    <x v="2"/>
    <x v="4"/>
    <x v="2"/>
    <x v="0"/>
    <x v="3"/>
    <x v="3"/>
    <x v="0"/>
    <x v="2"/>
  </r>
  <r>
    <s v="TX500042"/>
    <x v="12"/>
    <x v="0"/>
    <n v="80.7"/>
    <n v="80.7"/>
    <x v="1"/>
    <d v="2025-01-03T00:00:00"/>
    <x v="1"/>
    <x v="0"/>
    <x v="2"/>
    <x v="0"/>
    <x v="16"/>
    <x v="3"/>
    <x v="0"/>
    <x v="1"/>
  </r>
  <r>
    <s v="TX500043"/>
    <x v="4"/>
    <x v="1"/>
    <n v="54.5"/>
    <n v="109"/>
    <x v="1"/>
    <d v="2025-01-04T00:00:00"/>
    <x v="1"/>
    <x v="1"/>
    <x v="1"/>
    <x v="0"/>
    <x v="6"/>
    <x v="1"/>
    <x v="0"/>
    <x v="1"/>
  </r>
  <r>
    <s v="TX500044"/>
    <x v="6"/>
    <x v="2"/>
    <n v="68.599999999999994"/>
    <n v="205.79999999999998"/>
    <x v="1"/>
    <d v="2025-01-02T00:00:00"/>
    <x v="2"/>
    <x v="0"/>
    <x v="1"/>
    <x v="0"/>
    <x v="8"/>
    <x v="7"/>
    <x v="0"/>
    <x v="2"/>
  </r>
  <r>
    <s v="TX500045"/>
    <x v="2"/>
    <x v="12"/>
    <n v="135.9"/>
    <n v="543.6"/>
    <x v="1"/>
    <d v="2025-01-03T00:00:00"/>
    <x v="2"/>
    <x v="2"/>
    <x v="2"/>
    <x v="0"/>
    <x v="8"/>
    <x v="3"/>
    <x v="0"/>
    <x v="2"/>
  </r>
  <r>
    <s v="TX500046"/>
    <x v="2"/>
    <x v="12"/>
    <n v="70.900000000000006"/>
    <n v="283.60000000000002"/>
    <x v="1"/>
    <d v="2025-01-03T00:00:00"/>
    <x v="2"/>
    <x v="0"/>
    <x v="0"/>
    <x v="0"/>
    <x v="17"/>
    <x v="3"/>
    <x v="0"/>
    <x v="2"/>
  </r>
  <r>
    <s v="TX500047"/>
    <x v="1"/>
    <x v="9"/>
    <n v="63.7"/>
    <n v="318.5"/>
    <x v="1"/>
    <d v="2025-01-03T00:00:00"/>
    <x v="1"/>
    <x v="1"/>
    <x v="1"/>
    <x v="0"/>
    <x v="9"/>
    <x v="3"/>
    <x v="0"/>
    <x v="1"/>
  </r>
  <r>
    <s v="TX500048"/>
    <x v="13"/>
    <x v="0"/>
    <n v="29.7"/>
    <n v="29.7"/>
    <x v="1"/>
    <d v="2025-01-04T00:00:00"/>
    <x v="2"/>
    <x v="1"/>
    <x v="0"/>
    <x v="0"/>
    <x v="11"/>
    <x v="1"/>
    <x v="0"/>
    <x v="2"/>
  </r>
  <r>
    <s v="TX500049"/>
    <x v="4"/>
    <x v="2"/>
    <n v="26.8"/>
    <n v="80.400000000000006"/>
    <x v="1"/>
    <d v="2025-01-11T00:00:00"/>
    <x v="2"/>
    <x v="1"/>
    <x v="2"/>
    <x v="0"/>
    <x v="11"/>
    <x v="8"/>
    <x v="0"/>
    <x v="2"/>
  </r>
  <r>
    <s v="TX500050"/>
    <x v="14"/>
    <x v="0"/>
    <n v="27"/>
    <n v="27"/>
    <x v="1"/>
    <d v="2025-01-04T00:00:00"/>
    <x v="2"/>
    <x v="0"/>
    <x v="0"/>
    <x v="0"/>
    <x v="18"/>
    <x v="1"/>
    <x v="0"/>
    <x v="2"/>
  </r>
  <r>
    <s v="TX500051"/>
    <x v="8"/>
    <x v="0"/>
    <n v="41.4"/>
    <n v="41.4"/>
    <x v="1"/>
    <d v="2025-01-03T00:00:00"/>
    <x v="1"/>
    <x v="1"/>
    <x v="2"/>
    <x v="0"/>
    <x v="19"/>
    <x v="3"/>
    <x v="0"/>
    <x v="1"/>
  </r>
  <r>
    <s v="TX500052"/>
    <x v="8"/>
    <x v="1"/>
    <n v="24.3"/>
    <n v="48.6"/>
    <x v="1"/>
    <d v="2025-01-05T00:00:00"/>
    <x v="2"/>
    <x v="1"/>
    <x v="0"/>
    <x v="0"/>
    <x v="19"/>
    <x v="2"/>
    <x v="0"/>
    <x v="2"/>
  </r>
  <r>
    <s v="TX500053"/>
    <x v="8"/>
    <x v="2"/>
    <n v="41.7"/>
    <n v="125.10000000000001"/>
    <x v="1"/>
    <d v="2025-01-04T00:00:00"/>
    <x v="1"/>
    <x v="0"/>
    <x v="2"/>
    <x v="0"/>
    <x v="20"/>
    <x v="1"/>
    <x v="0"/>
    <x v="1"/>
  </r>
  <r>
    <s v="TX500054"/>
    <x v="0"/>
    <x v="1"/>
    <n v="18"/>
    <n v="36"/>
    <x v="1"/>
    <d v="2025-01-03T00:00:00"/>
    <x v="2"/>
    <x v="0"/>
    <x v="2"/>
    <x v="0"/>
    <x v="21"/>
    <x v="3"/>
    <x v="0"/>
    <x v="2"/>
  </r>
  <r>
    <s v="TX500055"/>
    <x v="7"/>
    <x v="2"/>
    <n v="91.3"/>
    <n v="273.89999999999998"/>
    <x v="1"/>
    <d v="2025-01-05T00:00:00"/>
    <x v="1"/>
    <x v="2"/>
    <x v="2"/>
    <x v="0"/>
    <x v="3"/>
    <x v="2"/>
    <x v="0"/>
    <x v="1"/>
  </r>
  <r>
    <s v="TX500056"/>
    <x v="8"/>
    <x v="8"/>
    <n v="19.3"/>
    <n v="154.4"/>
    <x v="1"/>
    <d v="2025-01-03T00:00:00"/>
    <x v="1"/>
    <x v="0"/>
    <x v="0"/>
    <x v="0"/>
    <x v="3"/>
    <x v="3"/>
    <x v="0"/>
    <x v="1"/>
  </r>
  <r>
    <s v="TX500057"/>
    <x v="12"/>
    <x v="15"/>
    <n v="63.2"/>
    <n v="821.6"/>
    <x v="1"/>
    <d v="2025-01-03T00:00:00"/>
    <x v="2"/>
    <x v="0"/>
    <x v="0"/>
    <x v="0"/>
    <x v="3"/>
    <x v="3"/>
    <x v="0"/>
    <x v="2"/>
  </r>
  <r>
    <s v="TX500058"/>
    <x v="10"/>
    <x v="11"/>
    <n v="33.299999999999997"/>
    <n v="299.7"/>
    <x v="2"/>
    <d v="2025-01-11T00:00:00"/>
    <x v="2"/>
    <x v="0"/>
    <x v="2"/>
    <x v="0"/>
    <x v="3"/>
    <x v="9"/>
    <x v="0"/>
    <x v="2"/>
  </r>
  <r>
    <s v="TX500059"/>
    <x v="7"/>
    <x v="1"/>
    <n v="64.2"/>
    <n v="128.4"/>
    <x v="2"/>
    <d v="2025-01-04T00:00:00"/>
    <x v="1"/>
    <x v="0"/>
    <x v="2"/>
    <x v="0"/>
    <x v="3"/>
    <x v="3"/>
    <x v="0"/>
    <x v="1"/>
  </r>
  <r>
    <s v="TX500060"/>
    <x v="9"/>
    <x v="2"/>
    <n v="23.1"/>
    <n v="69.300000000000011"/>
    <x v="2"/>
    <d v="2025-01-06T00:00:00"/>
    <x v="2"/>
    <x v="1"/>
    <x v="2"/>
    <x v="0"/>
    <x v="3"/>
    <x v="2"/>
    <x v="0"/>
    <x v="2"/>
  </r>
  <r>
    <s v="TX500061"/>
    <x v="15"/>
    <x v="1"/>
    <n v="71.099999999999994"/>
    <n v="142.19999999999999"/>
    <x v="2"/>
    <d v="2025-01-05T00:00:00"/>
    <x v="2"/>
    <x v="3"/>
    <x v="1"/>
    <x v="0"/>
    <x v="3"/>
    <x v="1"/>
    <x v="0"/>
    <x v="2"/>
  </r>
  <r>
    <s v="TX500062"/>
    <x v="0"/>
    <x v="1"/>
    <n v="11.5"/>
    <n v="23"/>
    <x v="2"/>
    <d v="2025-01-04T00:00:00"/>
    <x v="2"/>
    <x v="0"/>
    <x v="0"/>
    <x v="0"/>
    <x v="3"/>
    <x v="3"/>
    <x v="0"/>
    <x v="2"/>
  </r>
  <r>
    <s v="TX500063"/>
    <x v="15"/>
    <x v="10"/>
    <n v="69.2"/>
    <n v="1314.8"/>
    <x v="2"/>
    <d v="2025-01-08T00:00:00"/>
    <x v="2"/>
    <x v="0"/>
    <x v="0"/>
    <x v="0"/>
    <x v="3"/>
    <x v="0"/>
    <x v="0"/>
    <x v="2"/>
  </r>
  <r>
    <s v="TX500064"/>
    <x v="0"/>
    <x v="0"/>
    <n v="26.8"/>
    <n v="26.8"/>
    <x v="2"/>
    <d v="2025-01-04T00:00:00"/>
    <x v="1"/>
    <x v="2"/>
    <x v="4"/>
    <x v="0"/>
    <x v="3"/>
    <x v="3"/>
    <x v="0"/>
    <x v="1"/>
  </r>
  <r>
    <s v="TX500065"/>
    <x v="16"/>
    <x v="2"/>
    <n v="31.2"/>
    <n v="93.6"/>
    <x v="2"/>
    <d v="2025-01-06T00:00:00"/>
    <x v="2"/>
    <x v="0"/>
    <x v="0"/>
    <x v="0"/>
    <x v="3"/>
    <x v="2"/>
    <x v="0"/>
    <x v="2"/>
  </r>
  <r>
    <s v="TX500066"/>
    <x v="12"/>
    <x v="1"/>
    <n v="113.2"/>
    <n v="226.4"/>
    <x v="2"/>
    <d v="2025-01-04T00:00:00"/>
    <x v="2"/>
    <x v="4"/>
    <x v="0"/>
    <x v="0"/>
    <x v="3"/>
    <x v="3"/>
    <x v="0"/>
    <x v="2"/>
  </r>
  <r>
    <s v="TX500067"/>
    <x v="10"/>
    <x v="8"/>
    <n v="21"/>
    <n v="168"/>
    <x v="2"/>
    <d v="2025-01-04T00:00:00"/>
    <x v="1"/>
    <x v="0"/>
    <x v="0"/>
    <x v="0"/>
    <x v="6"/>
    <x v="3"/>
    <x v="0"/>
    <x v="1"/>
  </r>
  <r>
    <s v="TX500068"/>
    <x v="1"/>
    <x v="1"/>
    <n v="89.1"/>
    <n v="178.2"/>
    <x v="2"/>
    <d v="2025-01-04T00:00:00"/>
    <x v="2"/>
    <x v="2"/>
    <x v="2"/>
    <x v="0"/>
    <x v="6"/>
    <x v="3"/>
    <x v="0"/>
    <x v="2"/>
  </r>
  <r>
    <s v="TX500069"/>
    <x v="1"/>
    <x v="0"/>
    <n v="97.7"/>
    <n v="97.7"/>
    <x v="2"/>
    <d v="2025-01-05T00:00:00"/>
    <x v="2"/>
    <x v="0"/>
    <x v="1"/>
    <x v="0"/>
    <x v="6"/>
    <x v="1"/>
    <x v="0"/>
    <x v="2"/>
  </r>
  <r>
    <s v="TX500070"/>
    <x v="15"/>
    <x v="12"/>
    <n v="97.7"/>
    <n v="390.8"/>
    <x v="2"/>
    <d v="2025-01-05T00:00:00"/>
    <x v="1"/>
    <x v="3"/>
    <x v="0"/>
    <x v="0"/>
    <x v="6"/>
    <x v="1"/>
    <x v="0"/>
    <x v="1"/>
  </r>
  <r>
    <s v="TX500071"/>
    <x v="17"/>
    <x v="2"/>
    <n v="47.4"/>
    <n v="142.19999999999999"/>
    <x v="2"/>
    <d v="2025-01-06T00:00:00"/>
    <x v="1"/>
    <x v="3"/>
    <x v="2"/>
    <x v="0"/>
    <x v="8"/>
    <x v="2"/>
    <x v="0"/>
    <x v="1"/>
  </r>
  <r>
    <s v="TX500072"/>
    <x v="7"/>
    <x v="0"/>
    <n v="89.6"/>
    <n v="89.6"/>
    <x v="2"/>
    <d v="2025-01-06T00:00:00"/>
    <x v="2"/>
    <x v="0"/>
    <x v="2"/>
    <x v="0"/>
    <x v="8"/>
    <x v="2"/>
    <x v="0"/>
    <x v="2"/>
  </r>
  <r>
    <s v="TX500073"/>
    <x v="10"/>
    <x v="16"/>
    <n v="28.4"/>
    <n v="511.2"/>
    <x v="2"/>
    <d v="2025-01-06T00:00:00"/>
    <x v="2"/>
    <x v="3"/>
    <x v="2"/>
    <x v="0"/>
    <x v="17"/>
    <x v="2"/>
    <x v="0"/>
    <x v="2"/>
  </r>
  <r>
    <s v="TX500074"/>
    <x v="0"/>
    <x v="1"/>
    <n v="17.899999999999999"/>
    <n v="35.799999999999997"/>
    <x v="2"/>
    <d v="2025-01-04T00:00:00"/>
    <x v="2"/>
    <x v="0"/>
    <x v="2"/>
    <x v="0"/>
    <x v="9"/>
    <x v="3"/>
    <x v="0"/>
    <x v="2"/>
  </r>
  <r>
    <s v="TX500075"/>
    <x v="9"/>
    <x v="1"/>
    <n v="48.4"/>
    <n v="96.8"/>
    <x v="2"/>
    <d v="2025-01-06T00:00:00"/>
    <x v="1"/>
    <x v="1"/>
    <x v="0"/>
    <x v="0"/>
    <x v="9"/>
    <x v="2"/>
    <x v="0"/>
    <x v="1"/>
  </r>
  <r>
    <s v="TX500076"/>
    <x v="12"/>
    <x v="12"/>
    <n v="44.4"/>
    <n v="177.6"/>
    <x v="2"/>
    <d v="2025-01-04T00:00:00"/>
    <x v="3"/>
    <x v="1"/>
    <x v="1"/>
    <x v="0"/>
    <x v="11"/>
    <x v="3"/>
    <x v="0"/>
    <x v="3"/>
  </r>
  <r>
    <s v="TX500077"/>
    <x v="2"/>
    <x v="8"/>
    <n v="103.7"/>
    <n v="829.6"/>
    <x v="2"/>
    <d v="2025-01-04T00:00:00"/>
    <x v="2"/>
    <x v="0"/>
    <x v="1"/>
    <x v="0"/>
    <x v="19"/>
    <x v="3"/>
    <x v="0"/>
    <x v="2"/>
  </r>
  <r>
    <s v="TX500078"/>
    <x v="5"/>
    <x v="12"/>
    <n v="58.6"/>
    <n v="234.4"/>
    <x v="2"/>
    <d v="2025-01-05T00:00:00"/>
    <x v="1"/>
    <x v="3"/>
    <x v="0"/>
    <x v="0"/>
    <x v="19"/>
    <x v="1"/>
    <x v="0"/>
    <x v="1"/>
  </r>
  <r>
    <s v="TX500079"/>
    <x v="9"/>
    <x v="12"/>
    <n v="54.8"/>
    <n v="219.2"/>
    <x v="2"/>
    <d v="2025-01-07T00:00:00"/>
    <x v="2"/>
    <x v="2"/>
    <x v="1"/>
    <x v="0"/>
    <x v="13"/>
    <x v="5"/>
    <x v="0"/>
    <x v="2"/>
  </r>
  <r>
    <s v="TX500080"/>
    <x v="12"/>
    <x v="2"/>
    <n v="78.8"/>
    <n v="236.39999999999998"/>
    <x v="2"/>
    <d v="2025-01-09T00:00:00"/>
    <x v="2"/>
    <x v="4"/>
    <x v="1"/>
    <x v="0"/>
    <x v="21"/>
    <x v="4"/>
    <x v="0"/>
    <x v="2"/>
  </r>
  <r>
    <s v="TX500081"/>
    <x v="18"/>
    <x v="9"/>
    <n v="36.799999999999997"/>
    <n v="184"/>
    <x v="2"/>
    <d v="2025-01-06T00:00:00"/>
    <x v="1"/>
    <x v="4"/>
    <x v="1"/>
    <x v="0"/>
    <x v="22"/>
    <x v="2"/>
    <x v="0"/>
    <x v="1"/>
  </r>
  <r>
    <s v="TX500082"/>
    <x v="6"/>
    <x v="13"/>
    <n v="50.6"/>
    <n v="303.60000000000002"/>
    <x v="2"/>
    <d v="2025-01-05T00:00:00"/>
    <x v="2"/>
    <x v="3"/>
    <x v="0"/>
    <x v="0"/>
    <x v="3"/>
    <x v="1"/>
    <x v="0"/>
    <x v="2"/>
  </r>
  <r>
    <s v="TX500083"/>
    <x v="15"/>
    <x v="2"/>
    <n v="36.799999999999997"/>
    <n v="110.39999999999999"/>
    <x v="2"/>
    <d v="2025-01-03T00:00:00"/>
    <x v="1"/>
    <x v="2"/>
    <x v="1"/>
    <x v="0"/>
    <x v="3"/>
    <x v="7"/>
    <x v="0"/>
    <x v="1"/>
  </r>
  <r>
    <s v="TX500084"/>
    <x v="8"/>
    <x v="11"/>
    <n v="41.8"/>
    <n v="376.2"/>
    <x v="3"/>
    <d v="2025-01-10T00:00:00"/>
    <x v="2"/>
    <x v="3"/>
    <x v="0"/>
    <x v="0"/>
    <x v="3"/>
    <x v="4"/>
    <x v="0"/>
    <x v="2"/>
  </r>
  <r>
    <s v="TX500085"/>
    <x v="18"/>
    <x v="0"/>
    <n v="77.3"/>
    <n v="77.3"/>
    <x v="3"/>
    <d v="2025-01-05T00:00:00"/>
    <x v="1"/>
    <x v="4"/>
    <x v="4"/>
    <x v="0"/>
    <x v="3"/>
    <x v="3"/>
    <x v="0"/>
    <x v="1"/>
  </r>
  <r>
    <s v="TX500086"/>
    <x v="8"/>
    <x v="12"/>
    <n v="19.8"/>
    <n v="79.2"/>
    <x v="3"/>
    <d v="2025-01-10T00:00:00"/>
    <x v="1"/>
    <x v="1"/>
    <x v="2"/>
    <x v="0"/>
    <x v="3"/>
    <x v="4"/>
    <x v="0"/>
    <x v="1"/>
  </r>
  <r>
    <s v="TX500087"/>
    <x v="13"/>
    <x v="12"/>
    <n v="15.5"/>
    <n v="62"/>
    <x v="3"/>
    <d v="2025-01-05T00:00:00"/>
    <x v="2"/>
    <x v="1"/>
    <x v="2"/>
    <x v="0"/>
    <x v="3"/>
    <x v="3"/>
    <x v="0"/>
    <x v="2"/>
  </r>
  <r>
    <s v="TX500088"/>
    <x v="12"/>
    <x v="0"/>
    <n v="46.8"/>
    <n v="46.8"/>
    <x v="3"/>
    <d v="2025-01-08T00:00:00"/>
    <x v="1"/>
    <x v="0"/>
    <x v="2"/>
    <x v="0"/>
    <x v="3"/>
    <x v="5"/>
    <x v="0"/>
    <x v="1"/>
  </r>
  <r>
    <s v="TX500089"/>
    <x v="9"/>
    <x v="11"/>
    <n v="28.6"/>
    <n v="257.40000000000003"/>
    <x v="3"/>
    <d v="2025-01-08T00:00:00"/>
    <x v="1"/>
    <x v="0"/>
    <x v="2"/>
    <x v="0"/>
    <x v="3"/>
    <x v="5"/>
    <x v="0"/>
    <x v="1"/>
  </r>
  <r>
    <s v="TX500090"/>
    <x v="2"/>
    <x v="0"/>
    <n v="97.7"/>
    <n v="97.7"/>
    <x v="3"/>
    <d v="2025-01-07T00:00:00"/>
    <x v="2"/>
    <x v="1"/>
    <x v="0"/>
    <x v="0"/>
    <x v="3"/>
    <x v="2"/>
    <x v="0"/>
    <x v="2"/>
  </r>
  <r>
    <s v="TX500091"/>
    <x v="9"/>
    <x v="9"/>
    <n v="54.7"/>
    <n v="273.5"/>
    <x v="3"/>
    <d v="2025-01-07T00:00:00"/>
    <x v="0"/>
    <x v="0"/>
    <x v="2"/>
    <x v="0"/>
    <x v="23"/>
    <x v="2"/>
    <x v="0"/>
    <x v="0"/>
  </r>
  <r>
    <s v="TX500092"/>
    <x v="2"/>
    <x v="13"/>
    <n v="130.5"/>
    <n v="783"/>
    <x v="3"/>
    <d v="2025-01-06T00:00:00"/>
    <x v="2"/>
    <x v="0"/>
    <x v="1"/>
    <x v="0"/>
    <x v="23"/>
    <x v="1"/>
    <x v="0"/>
    <x v="2"/>
  </r>
  <r>
    <s v="TX500093"/>
    <x v="11"/>
    <x v="1"/>
    <n v="50.4"/>
    <n v="100.8"/>
    <x v="3"/>
    <d v="2025-01-06T00:00:00"/>
    <x v="1"/>
    <x v="2"/>
    <x v="2"/>
    <x v="0"/>
    <x v="6"/>
    <x v="1"/>
    <x v="0"/>
    <x v="1"/>
  </r>
  <r>
    <s v="TX500094"/>
    <x v="6"/>
    <x v="15"/>
    <n v="61.5"/>
    <n v="799.5"/>
    <x v="3"/>
    <d v="2025-01-05T00:00:00"/>
    <x v="0"/>
    <x v="3"/>
    <x v="1"/>
    <x v="0"/>
    <x v="11"/>
    <x v="3"/>
    <x v="0"/>
    <x v="0"/>
  </r>
  <r>
    <s v="TX500095"/>
    <x v="9"/>
    <x v="12"/>
    <n v="30.1"/>
    <n v="120.4"/>
    <x v="3"/>
    <d v="2025-01-05T00:00:00"/>
    <x v="2"/>
    <x v="0"/>
    <x v="2"/>
    <x v="0"/>
    <x v="21"/>
    <x v="3"/>
    <x v="0"/>
    <x v="2"/>
  </r>
  <r>
    <s v="TX500096"/>
    <x v="2"/>
    <x v="9"/>
    <n v="74.8"/>
    <n v="374"/>
    <x v="3"/>
    <d v="2025-01-05T00:00:00"/>
    <x v="2"/>
    <x v="1"/>
    <x v="0"/>
    <x v="0"/>
    <x v="1"/>
    <x v="3"/>
    <x v="0"/>
    <x v="2"/>
  </r>
  <r>
    <s v="TX500097"/>
    <x v="16"/>
    <x v="2"/>
    <n v="64.900000000000006"/>
    <n v="194.70000000000002"/>
    <x v="3"/>
    <d v="2025-01-11T00:00:00"/>
    <x v="1"/>
    <x v="0"/>
    <x v="0"/>
    <x v="0"/>
    <x v="2"/>
    <x v="6"/>
    <x v="0"/>
    <x v="1"/>
  </r>
  <r>
    <s v="TX500098"/>
    <x v="9"/>
    <x v="1"/>
    <n v="50.5"/>
    <n v="101"/>
    <x v="3"/>
    <d v="2025-01-06T00:00:00"/>
    <x v="1"/>
    <x v="1"/>
    <x v="0"/>
    <x v="0"/>
    <x v="22"/>
    <x v="1"/>
    <x v="0"/>
    <x v="1"/>
  </r>
  <r>
    <s v="TX500099"/>
    <x v="11"/>
    <x v="3"/>
    <n v="63"/>
    <n v="441"/>
    <x v="3"/>
    <d v="2025-01-07T00:00:00"/>
    <x v="1"/>
    <x v="3"/>
    <x v="2"/>
    <x v="0"/>
    <x v="3"/>
    <x v="2"/>
    <x v="0"/>
    <x v="1"/>
  </r>
  <r>
    <s v="TX500100"/>
    <x v="2"/>
    <x v="2"/>
    <n v="93.6"/>
    <n v="280.79999999999995"/>
    <x v="3"/>
    <d v="2025-01-17T00:00:00"/>
    <x v="2"/>
    <x v="0"/>
    <x v="2"/>
    <x v="0"/>
    <x v="3"/>
    <x v="10"/>
    <x v="0"/>
    <x v="2"/>
  </r>
  <r>
    <s v="TX500101"/>
    <x v="5"/>
    <x v="17"/>
    <n v="41.4"/>
    <n v="1242"/>
    <x v="3"/>
    <d v="2025-01-08T00:00:00"/>
    <x v="1"/>
    <x v="2"/>
    <x v="2"/>
    <x v="0"/>
    <x v="3"/>
    <x v="5"/>
    <x v="0"/>
    <x v="1"/>
  </r>
  <r>
    <s v="TX500102"/>
    <x v="2"/>
    <x v="1"/>
    <n v="160"/>
    <n v="320"/>
    <x v="4"/>
    <d v="2025-01-06T00:00:00"/>
    <x v="1"/>
    <x v="2"/>
    <x v="2"/>
    <x v="0"/>
    <x v="5"/>
    <x v="3"/>
    <x v="1"/>
    <x v="1"/>
  </r>
  <r>
    <s v="TX500103"/>
    <x v="19"/>
    <x v="5"/>
    <n v="10.5"/>
    <n v="115.5"/>
    <x v="4"/>
    <d v="2025-01-08T00:00:00"/>
    <x v="2"/>
    <x v="4"/>
    <x v="0"/>
    <x v="0"/>
    <x v="8"/>
    <x v="2"/>
    <x v="1"/>
    <x v="2"/>
  </r>
  <r>
    <s v="TX500104"/>
    <x v="10"/>
    <x v="1"/>
    <n v="53"/>
    <n v="106"/>
    <x v="4"/>
    <d v="2025-01-05T00:00:00"/>
    <x v="1"/>
    <x v="2"/>
    <x v="4"/>
    <x v="0"/>
    <x v="17"/>
    <x v="7"/>
    <x v="1"/>
    <x v="1"/>
  </r>
  <r>
    <s v="TX500105"/>
    <x v="8"/>
    <x v="2"/>
    <n v="18.5"/>
    <n v="55.5"/>
    <x v="4"/>
    <d v="2025-01-10T00:00:00"/>
    <x v="2"/>
    <x v="1"/>
    <x v="2"/>
    <x v="0"/>
    <x v="11"/>
    <x v="0"/>
    <x v="1"/>
    <x v="2"/>
  </r>
  <r>
    <s v="TX500106"/>
    <x v="16"/>
    <x v="2"/>
    <n v="84.5"/>
    <n v="253.5"/>
    <x v="4"/>
    <d v="2025-01-07T00:00:00"/>
    <x v="2"/>
    <x v="4"/>
    <x v="1"/>
    <x v="0"/>
    <x v="13"/>
    <x v="1"/>
    <x v="1"/>
    <x v="2"/>
  </r>
  <r>
    <s v="TX500107"/>
    <x v="15"/>
    <x v="3"/>
    <n v="31.2"/>
    <n v="218.4"/>
    <x v="4"/>
    <d v="2025-01-05T00:00:00"/>
    <x v="2"/>
    <x v="2"/>
    <x v="2"/>
    <x v="0"/>
    <x v="3"/>
    <x v="7"/>
    <x v="1"/>
    <x v="2"/>
  </r>
  <r>
    <s v="TX500108"/>
    <x v="8"/>
    <x v="16"/>
    <n v="32.6"/>
    <n v="586.80000000000007"/>
    <x v="4"/>
    <d v="2025-01-06T00:00:00"/>
    <x v="1"/>
    <x v="1"/>
    <x v="1"/>
    <x v="0"/>
    <x v="3"/>
    <x v="3"/>
    <x v="1"/>
    <x v="1"/>
  </r>
  <r>
    <s v="TX500109"/>
    <x v="10"/>
    <x v="12"/>
    <n v="45.4"/>
    <n v="181.6"/>
    <x v="4"/>
    <d v="2025-01-07T00:00:00"/>
    <x v="1"/>
    <x v="1"/>
    <x v="0"/>
    <x v="0"/>
    <x v="3"/>
    <x v="1"/>
    <x v="1"/>
    <x v="1"/>
  </r>
  <r>
    <s v="TX500110"/>
    <x v="2"/>
    <x v="4"/>
    <n v="120"/>
    <n v="1440"/>
    <x v="4"/>
    <d v="2025-01-06T00:00:00"/>
    <x v="2"/>
    <x v="2"/>
    <x v="4"/>
    <x v="0"/>
    <x v="3"/>
    <x v="3"/>
    <x v="1"/>
    <x v="2"/>
  </r>
  <r>
    <s v="TX500111"/>
    <x v="0"/>
    <x v="12"/>
    <n v="18.899999999999999"/>
    <n v="75.599999999999994"/>
    <x v="4"/>
    <d v="2025-01-07T00:00:00"/>
    <x v="1"/>
    <x v="0"/>
    <x v="2"/>
    <x v="0"/>
    <x v="3"/>
    <x v="1"/>
    <x v="1"/>
    <x v="1"/>
  </r>
  <r>
    <s v="TX500112"/>
    <x v="4"/>
    <x v="0"/>
    <n v="32"/>
    <n v="32"/>
    <x v="4"/>
    <d v="2025-01-07T00:00:00"/>
    <x v="2"/>
    <x v="4"/>
    <x v="0"/>
    <x v="0"/>
    <x v="3"/>
    <x v="1"/>
    <x v="1"/>
    <x v="2"/>
  </r>
  <r>
    <s v="TX500113"/>
    <x v="7"/>
    <x v="1"/>
    <n v="37.299999999999997"/>
    <n v="74.599999999999994"/>
    <x v="4"/>
    <d v="2025-01-06T00:00:00"/>
    <x v="1"/>
    <x v="2"/>
    <x v="0"/>
    <x v="0"/>
    <x v="3"/>
    <x v="3"/>
    <x v="1"/>
    <x v="1"/>
  </r>
  <r>
    <s v="TX500114"/>
    <x v="18"/>
    <x v="0"/>
    <n v="119.8"/>
    <n v="119.8"/>
    <x v="4"/>
    <d v="2025-01-06T00:00:00"/>
    <x v="1"/>
    <x v="1"/>
    <x v="1"/>
    <x v="0"/>
    <x v="3"/>
    <x v="3"/>
    <x v="1"/>
    <x v="1"/>
  </r>
  <r>
    <s v="TX500115"/>
    <x v="10"/>
    <x v="1"/>
    <n v="26.4"/>
    <n v="52.8"/>
    <x v="4"/>
    <d v="2025-01-08T00:00:00"/>
    <x v="1"/>
    <x v="2"/>
    <x v="0"/>
    <x v="0"/>
    <x v="3"/>
    <x v="2"/>
    <x v="1"/>
    <x v="1"/>
  </r>
  <r>
    <s v="TX500116"/>
    <x v="6"/>
    <x v="13"/>
    <n v="76.5"/>
    <n v="459"/>
    <x v="4"/>
    <d v="2025-01-06T00:00:00"/>
    <x v="2"/>
    <x v="1"/>
    <x v="1"/>
    <x v="0"/>
    <x v="3"/>
    <x v="3"/>
    <x v="1"/>
    <x v="2"/>
  </r>
  <r>
    <s v="TX500117"/>
    <x v="4"/>
    <x v="7"/>
    <n v="45.7"/>
    <n v="457"/>
    <x v="4"/>
    <d v="2025-01-06T00:00:00"/>
    <x v="2"/>
    <x v="2"/>
    <x v="0"/>
    <x v="0"/>
    <x v="24"/>
    <x v="3"/>
    <x v="1"/>
    <x v="2"/>
  </r>
  <r>
    <s v="TX500118"/>
    <x v="1"/>
    <x v="4"/>
    <n v="92.6"/>
    <n v="1111.1999999999998"/>
    <x v="4"/>
    <d v="2025-01-07T00:00:00"/>
    <x v="2"/>
    <x v="2"/>
    <x v="0"/>
    <x v="0"/>
    <x v="25"/>
    <x v="1"/>
    <x v="1"/>
    <x v="2"/>
  </r>
  <r>
    <s v="TX500119"/>
    <x v="6"/>
    <x v="13"/>
    <n v="60.1"/>
    <n v="360.6"/>
    <x v="4"/>
    <d v="2025-01-06T00:00:00"/>
    <x v="1"/>
    <x v="1"/>
    <x v="0"/>
    <x v="0"/>
    <x v="23"/>
    <x v="3"/>
    <x v="1"/>
    <x v="1"/>
  </r>
  <r>
    <s v="TX500120"/>
    <x v="1"/>
    <x v="2"/>
    <n v="73"/>
    <n v="219"/>
    <x v="4"/>
    <d v="2025-01-06T00:00:00"/>
    <x v="2"/>
    <x v="3"/>
    <x v="1"/>
    <x v="0"/>
    <x v="6"/>
    <x v="3"/>
    <x v="1"/>
    <x v="2"/>
  </r>
  <r>
    <s v="TX500121"/>
    <x v="6"/>
    <x v="2"/>
    <n v="44.3"/>
    <n v="132.89999999999998"/>
    <x v="4"/>
    <d v="2025-01-09T00:00:00"/>
    <x v="0"/>
    <x v="2"/>
    <x v="2"/>
    <x v="0"/>
    <x v="6"/>
    <x v="5"/>
    <x v="1"/>
    <x v="0"/>
  </r>
  <r>
    <s v="TX500122"/>
    <x v="6"/>
    <x v="2"/>
    <n v="63.3"/>
    <n v="189.89999999999998"/>
    <x v="4"/>
    <d v="2025-01-06T00:00:00"/>
    <x v="1"/>
    <x v="2"/>
    <x v="0"/>
    <x v="0"/>
    <x v="6"/>
    <x v="3"/>
    <x v="1"/>
    <x v="1"/>
  </r>
  <r>
    <s v="TX500123"/>
    <x v="12"/>
    <x v="0"/>
    <n v="66.8"/>
    <n v="66.8"/>
    <x v="4"/>
    <d v="2025-01-06T00:00:00"/>
    <x v="2"/>
    <x v="1"/>
    <x v="0"/>
    <x v="0"/>
    <x v="6"/>
    <x v="3"/>
    <x v="1"/>
    <x v="2"/>
  </r>
  <r>
    <s v="TX500124"/>
    <x v="2"/>
    <x v="1"/>
    <n v="59.7"/>
    <n v="119.4"/>
    <x v="4"/>
    <d v="2025-01-06T00:00:00"/>
    <x v="2"/>
    <x v="0"/>
    <x v="0"/>
    <x v="0"/>
    <x v="7"/>
    <x v="3"/>
    <x v="1"/>
    <x v="2"/>
  </r>
  <r>
    <s v="TX500125"/>
    <x v="1"/>
    <x v="13"/>
    <n v="92"/>
    <n v="552"/>
    <x v="4"/>
    <d v="2025-01-07T00:00:00"/>
    <x v="1"/>
    <x v="0"/>
    <x v="4"/>
    <x v="0"/>
    <x v="7"/>
    <x v="1"/>
    <x v="1"/>
    <x v="1"/>
  </r>
  <r>
    <s v="TX500126"/>
    <x v="7"/>
    <x v="1"/>
    <n v="87.6"/>
    <n v="175.2"/>
    <x v="4"/>
    <d v="2025-01-07T00:00:00"/>
    <x v="1"/>
    <x v="1"/>
    <x v="1"/>
    <x v="0"/>
    <x v="8"/>
    <x v="1"/>
    <x v="1"/>
    <x v="1"/>
  </r>
  <r>
    <s v="TX500127"/>
    <x v="6"/>
    <x v="2"/>
    <n v="84.5"/>
    <n v="253.5"/>
    <x v="4"/>
    <d v="2025-01-06T00:00:00"/>
    <x v="2"/>
    <x v="1"/>
    <x v="1"/>
    <x v="0"/>
    <x v="8"/>
    <x v="3"/>
    <x v="1"/>
    <x v="2"/>
  </r>
  <r>
    <s v="TX500128"/>
    <x v="1"/>
    <x v="1"/>
    <n v="116.3"/>
    <n v="232.6"/>
    <x v="5"/>
    <d v="2025-01-08T00:00:00"/>
    <x v="1"/>
    <x v="2"/>
    <x v="2"/>
    <x v="0"/>
    <x v="8"/>
    <x v="1"/>
    <x v="1"/>
    <x v="1"/>
  </r>
  <r>
    <s v="TX500129"/>
    <x v="6"/>
    <x v="9"/>
    <n v="52.7"/>
    <n v="263.5"/>
    <x v="5"/>
    <d v="2025-01-10T00:00:00"/>
    <x v="1"/>
    <x v="0"/>
    <x v="0"/>
    <x v="0"/>
    <x v="8"/>
    <x v="5"/>
    <x v="1"/>
    <x v="1"/>
  </r>
  <r>
    <s v="TX500130"/>
    <x v="16"/>
    <x v="2"/>
    <n v="34.200000000000003"/>
    <n v="102.60000000000001"/>
    <x v="5"/>
    <d v="2025-01-07T00:00:00"/>
    <x v="1"/>
    <x v="0"/>
    <x v="2"/>
    <x v="0"/>
    <x v="26"/>
    <x v="3"/>
    <x v="1"/>
    <x v="1"/>
  </r>
  <r>
    <s v="TX500131"/>
    <x v="9"/>
    <x v="0"/>
    <n v="23.3"/>
    <n v="23.3"/>
    <x v="5"/>
    <d v="2025-01-15T00:00:00"/>
    <x v="3"/>
    <x v="2"/>
    <x v="2"/>
    <x v="0"/>
    <x v="9"/>
    <x v="8"/>
    <x v="1"/>
    <x v="3"/>
  </r>
  <r>
    <s v="TX500132"/>
    <x v="0"/>
    <x v="18"/>
    <n v="25.9"/>
    <n v="673.4"/>
    <x v="5"/>
    <d v="2025-01-09T00:00:00"/>
    <x v="2"/>
    <x v="4"/>
    <x v="1"/>
    <x v="0"/>
    <x v="9"/>
    <x v="2"/>
    <x v="1"/>
    <x v="2"/>
  </r>
  <r>
    <s v="TX500133"/>
    <x v="6"/>
    <x v="19"/>
    <n v="54.9"/>
    <n v="1592.1"/>
    <x v="5"/>
    <d v="2025-01-07T00:00:00"/>
    <x v="1"/>
    <x v="1"/>
    <x v="2"/>
    <x v="0"/>
    <x v="9"/>
    <x v="3"/>
    <x v="1"/>
    <x v="1"/>
  </r>
  <r>
    <s v="TX500134"/>
    <x v="5"/>
    <x v="2"/>
    <n v="75.8"/>
    <n v="227.39999999999998"/>
    <x v="5"/>
    <d v="2025-01-11T00:00:00"/>
    <x v="3"/>
    <x v="1"/>
    <x v="0"/>
    <x v="0"/>
    <x v="18"/>
    <x v="0"/>
    <x v="1"/>
    <x v="3"/>
  </r>
  <r>
    <s v="TX500135"/>
    <x v="1"/>
    <x v="11"/>
    <n v="44.9"/>
    <n v="404.09999999999997"/>
    <x v="5"/>
    <d v="2025-01-09T00:00:00"/>
    <x v="2"/>
    <x v="2"/>
    <x v="2"/>
    <x v="0"/>
    <x v="2"/>
    <x v="2"/>
    <x v="1"/>
    <x v="2"/>
  </r>
  <r>
    <s v="TX500136"/>
    <x v="11"/>
    <x v="1"/>
    <n v="48.8"/>
    <n v="97.6"/>
    <x v="5"/>
    <d v="2025-01-08T00:00:00"/>
    <x v="2"/>
    <x v="3"/>
    <x v="0"/>
    <x v="0"/>
    <x v="27"/>
    <x v="1"/>
    <x v="1"/>
    <x v="2"/>
  </r>
  <r>
    <s v="TX500137"/>
    <x v="15"/>
    <x v="0"/>
    <n v="20.3"/>
    <n v="20.3"/>
    <x v="5"/>
    <d v="2025-01-07T00:00:00"/>
    <x v="2"/>
    <x v="0"/>
    <x v="2"/>
    <x v="0"/>
    <x v="22"/>
    <x v="3"/>
    <x v="1"/>
    <x v="2"/>
  </r>
  <r>
    <s v="TX500138"/>
    <x v="5"/>
    <x v="3"/>
    <n v="36.4"/>
    <n v="254.79999999999998"/>
    <x v="5"/>
    <d v="2025-01-09T00:00:00"/>
    <x v="2"/>
    <x v="0"/>
    <x v="1"/>
    <x v="0"/>
    <x v="3"/>
    <x v="2"/>
    <x v="1"/>
    <x v="2"/>
  </r>
  <r>
    <s v="TX500139"/>
    <x v="0"/>
    <x v="0"/>
    <n v="19"/>
    <n v="19"/>
    <x v="5"/>
    <d v="2025-01-11T00:00:00"/>
    <x v="2"/>
    <x v="1"/>
    <x v="2"/>
    <x v="0"/>
    <x v="3"/>
    <x v="0"/>
    <x v="1"/>
    <x v="2"/>
  </r>
  <r>
    <s v="TX500140"/>
    <x v="8"/>
    <x v="0"/>
    <n v="17.8"/>
    <n v="17.8"/>
    <x v="5"/>
    <d v="2025-01-06T00:00:00"/>
    <x v="1"/>
    <x v="0"/>
    <x v="0"/>
    <x v="0"/>
    <x v="3"/>
    <x v="7"/>
    <x v="1"/>
    <x v="1"/>
  </r>
  <r>
    <s v="TX500141"/>
    <x v="2"/>
    <x v="13"/>
    <n v="139.6"/>
    <n v="837.59999999999991"/>
    <x v="5"/>
    <d v="2025-01-09T00:00:00"/>
    <x v="1"/>
    <x v="0"/>
    <x v="0"/>
    <x v="0"/>
    <x v="3"/>
    <x v="2"/>
    <x v="1"/>
    <x v="1"/>
  </r>
  <r>
    <s v="TX500142"/>
    <x v="9"/>
    <x v="0"/>
    <n v="31.7"/>
    <n v="31.7"/>
    <x v="5"/>
    <d v="2025-01-06T00:00:00"/>
    <x v="0"/>
    <x v="0"/>
    <x v="0"/>
    <x v="0"/>
    <x v="3"/>
    <x v="7"/>
    <x v="1"/>
    <x v="0"/>
  </r>
  <r>
    <s v="TX500143"/>
    <x v="8"/>
    <x v="8"/>
    <n v="26.3"/>
    <n v="210.4"/>
    <x v="5"/>
    <d v="2025-01-09T00:00:00"/>
    <x v="2"/>
    <x v="4"/>
    <x v="4"/>
    <x v="0"/>
    <x v="3"/>
    <x v="2"/>
    <x v="1"/>
    <x v="2"/>
  </r>
  <r>
    <s v="TX500144"/>
    <x v="4"/>
    <x v="1"/>
    <n v="47.8"/>
    <n v="95.6"/>
    <x v="5"/>
    <d v="2025-01-07T00:00:00"/>
    <x v="0"/>
    <x v="0"/>
    <x v="0"/>
    <x v="0"/>
    <x v="3"/>
    <x v="3"/>
    <x v="1"/>
    <x v="0"/>
  </r>
  <r>
    <s v="TX500145"/>
    <x v="9"/>
    <x v="2"/>
    <n v="69.400000000000006"/>
    <n v="208.20000000000002"/>
    <x v="5"/>
    <d v="2025-01-10T00:00:00"/>
    <x v="2"/>
    <x v="0"/>
    <x v="0"/>
    <x v="0"/>
    <x v="3"/>
    <x v="5"/>
    <x v="1"/>
    <x v="2"/>
  </r>
  <r>
    <s v="TX500146"/>
    <x v="18"/>
    <x v="4"/>
    <n v="25.8"/>
    <n v="309.60000000000002"/>
    <x v="5"/>
    <d v="2025-01-07T00:00:00"/>
    <x v="1"/>
    <x v="4"/>
    <x v="4"/>
    <x v="0"/>
    <x v="3"/>
    <x v="3"/>
    <x v="1"/>
    <x v="1"/>
  </r>
  <r>
    <s v="TX500147"/>
    <x v="0"/>
    <x v="12"/>
    <n v="26.4"/>
    <n v="105.6"/>
    <x v="5"/>
    <d v="2025-01-07T00:00:00"/>
    <x v="1"/>
    <x v="1"/>
    <x v="2"/>
    <x v="0"/>
    <x v="3"/>
    <x v="3"/>
    <x v="1"/>
    <x v="1"/>
  </r>
  <r>
    <s v="TX500148"/>
    <x v="8"/>
    <x v="12"/>
    <n v="15.7"/>
    <n v="62.8"/>
    <x v="5"/>
    <d v="2025-01-07T00:00:00"/>
    <x v="1"/>
    <x v="2"/>
    <x v="0"/>
    <x v="0"/>
    <x v="3"/>
    <x v="3"/>
    <x v="1"/>
    <x v="1"/>
  </r>
  <r>
    <s v="TX500149"/>
    <x v="8"/>
    <x v="0"/>
    <n v="39.700000000000003"/>
    <n v="39.700000000000003"/>
    <x v="5"/>
    <d v="2025-01-10T00:00:00"/>
    <x v="1"/>
    <x v="0"/>
    <x v="0"/>
    <x v="0"/>
    <x v="3"/>
    <x v="5"/>
    <x v="1"/>
    <x v="1"/>
  </r>
  <r>
    <s v="TX500150"/>
    <x v="10"/>
    <x v="12"/>
    <n v="31.1"/>
    <n v="124.4"/>
    <x v="5"/>
    <d v="2025-01-08T00:00:00"/>
    <x v="2"/>
    <x v="2"/>
    <x v="1"/>
    <x v="0"/>
    <x v="3"/>
    <x v="1"/>
    <x v="1"/>
    <x v="2"/>
  </r>
  <r>
    <s v="TX500151"/>
    <x v="13"/>
    <x v="20"/>
    <n v="23.4"/>
    <n v="351"/>
    <x v="5"/>
    <d v="2025-01-15T00:00:00"/>
    <x v="1"/>
    <x v="0"/>
    <x v="0"/>
    <x v="0"/>
    <x v="3"/>
    <x v="8"/>
    <x v="1"/>
    <x v="1"/>
  </r>
  <r>
    <s v="TX500152"/>
    <x v="1"/>
    <x v="12"/>
    <n v="57.1"/>
    <n v="228.4"/>
    <x v="6"/>
    <d v="2025-01-08T00:00:00"/>
    <x v="1"/>
    <x v="2"/>
    <x v="0"/>
    <x v="0"/>
    <x v="25"/>
    <x v="3"/>
    <x v="1"/>
    <x v="1"/>
  </r>
  <r>
    <s v="TX500153"/>
    <x v="2"/>
    <x v="9"/>
    <n v="89.9"/>
    <n v="449.5"/>
    <x v="6"/>
    <d v="2025-01-07T00:00:00"/>
    <x v="2"/>
    <x v="0"/>
    <x v="3"/>
    <x v="0"/>
    <x v="23"/>
    <x v="7"/>
    <x v="1"/>
    <x v="2"/>
  </r>
  <r>
    <s v="TX500154"/>
    <x v="10"/>
    <x v="3"/>
    <n v="48.1"/>
    <n v="336.7"/>
    <x v="6"/>
    <d v="2025-01-09T00:00:00"/>
    <x v="2"/>
    <x v="1"/>
    <x v="2"/>
    <x v="0"/>
    <x v="6"/>
    <x v="1"/>
    <x v="1"/>
    <x v="2"/>
  </r>
  <r>
    <s v="TX500155"/>
    <x v="8"/>
    <x v="1"/>
    <n v="29.3"/>
    <n v="58.6"/>
    <x v="6"/>
    <d v="2025-01-07T00:00:00"/>
    <x v="2"/>
    <x v="1"/>
    <x v="1"/>
    <x v="0"/>
    <x v="6"/>
    <x v="7"/>
    <x v="1"/>
    <x v="2"/>
  </r>
  <r>
    <s v="TX500156"/>
    <x v="8"/>
    <x v="12"/>
    <n v="28.8"/>
    <n v="115.2"/>
    <x v="6"/>
    <d v="2025-01-08T00:00:00"/>
    <x v="2"/>
    <x v="0"/>
    <x v="4"/>
    <x v="0"/>
    <x v="6"/>
    <x v="3"/>
    <x v="1"/>
    <x v="2"/>
  </r>
  <r>
    <s v="TX500157"/>
    <x v="10"/>
    <x v="9"/>
    <n v="40.5"/>
    <n v="202.5"/>
    <x v="6"/>
    <d v="2025-01-11T00:00:00"/>
    <x v="2"/>
    <x v="3"/>
    <x v="0"/>
    <x v="0"/>
    <x v="6"/>
    <x v="5"/>
    <x v="1"/>
    <x v="2"/>
  </r>
  <r>
    <s v="TX500158"/>
    <x v="18"/>
    <x v="21"/>
    <n v="65.099999999999994"/>
    <n v="911.39999999999986"/>
    <x v="6"/>
    <d v="2025-01-08T00:00:00"/>
    <x v="2"/>
    <x v="4"/>
    <x v="0"/>
    <x v="0"/>
    <x v="7"/>
    <x v="3"/>
    <x v="1"/>
    <x v="2"/>
  </r>
  <r>
    <s v="TX500159"/>
    <x v="8"/>
    <x v="12"/>
    <n v="40.299999999999997"/>
    <n v="161.19999999999999"/>
    <x v="6"/>
    <d v="2025-01-12T00:00:00"/>
    <x v="2"/>
    <x v="2"/>
    <x v="0"/>
    <x v="0"/>
    <x v="7"/>
    <x v="0"/>
    <x v="1"/>
    <x v="2"/>
  </r>
  <r>
    <s v="TX500160"/>
    <x v="6"/>
    <x v="9"/>
    <n v="51.8"/>
    <n v="259"/>
    <x v="6"/>
    <d v="2025-01-08T00:00:00"/>
    <x v="1"/>
    <x v="2"/>
    <x v="2"/>
    <x v="0"/>
    <x v="8"/>
    <x v="3"/>
    <x v="1"/>
    <x v="1"/>
  </r>
  <r>
    <s v="TX500161"/>
    <x v="6"/>
    <x v="2"/>
    <n v="61.3"/>
    <n v="183.89999999999998"/>
    <x v="6"/>
    <d v="2025-01-08T00:00:00"/>
    <x v="2"/>
    <x v="3"/>
    <x v="0"/>
    <x v="0"/>
    <x v="8"/>
    <x v="3"/>
    <x v="1"/>
    <x v="2"/>
  </r>
  <r>
    <s v="TX500162"/>
    <x v="2"/>
    <x v="12"/>
    <n v="122.5"/>
    <n v="490"/>
    <x v="6"/>
    <d v="2025-01-08T00:00:00"/>
    <x v="1"/>
    <x v="0"/>
    <x v="0"/>
    <x v="0"/>
    <x v="8"/>
    <x v="3"/>
    <x v="1"/>
    <x v="1"/>
  </r>
  <r>
    <s v="TX500163"/>
    <x v="0"/>
    <x v="11"/>
    <n v="12.5"/>
    <n v="112.5"/>
    <x v="6"/>
    <d v="2025-01-08T00:00:00"/>
    <x v="0"/>
    <x v="1"/>
    <x v="2"/>
    <x v="0"/>
    <x v="8"/>
    <x v="3"/>
    <x v="1"/>
    <x v="0"/>
  </r>
  <r>
    <s v="TX500164"/>
    <x v="15"/>
    <x v="8"/>
    <n v="37.5"/>
    <n v="300"/>
    <x v="6"/>
    <d v="2025-01-08T00:00:00"/>
    <x v="2"/>
    <x v="0"/>
    <x v="0"/>
    <x v="0"/>
    <x v="9"/>
    <x v="3"/>
    <x v="1"/>
    <x v="2"/>
  </r>
  <r>
    <s v="TX500165"/>
    <x v="6"/>
    <x v="2"/>
    <n v="40"/>
    <n v="120"/>
    <x v="6"/>
    <d v="2025-01-10T00:00:00"/>
    <x v="1"/>
    <x v="0"/>
    <x v="4"/>
    <x v="0"/>
    <x v="11"/>
    <x v="2"/>
    <x v="1"/>
    <x v="1"/>
  </r>
  <r>
    <s v="TX500166"/>
    <x v="17"/>
    <x v="8"/>
    <n v="38.5"/>
    <n v="308"/>
    <x v="6"/>
    <d v="2025-01-12T00:00:00"/>
    <x v="2"/>
    <x v="2"/>
    <x v="1"/>
    <x v="0"/>
    <x v="11"/>
    <x v="0"/>
    <x v="1"/>
    <x v="2"/>
  </r>
  <r>
    <s v="TX500167"/>
    <x v="2"/>
    <x v="1"/>
    <n v="86.4"/>
    <n v="172.8"/>
    <x v="6"/>
    <d v="2025-01-09T00:00:00"/>
    <x v="2"/>
    <x v="0"/>
    <x v="0"/>
    <x v="0"/>
    <x v="18"/>
    <x v="1"/>
    <x v="1"/>
    <x v="2"/>
  </r>
  <r>
    <s v="TX500168"/>
    <x v="10"/>
    <x v="0"/>
    <n v="50.7"/>
    <n v="50.7"/>
    <x v="6"/>
    <d v="2025-01-11T00:00:00"/>
    <x v="2"/>
    <x v="1"/>
    <x v="0"/>
    <x v="0"/>
    <x v="18"/>
    <x v="5"/>
    <x v="1"/>
    <x v="2"/>
  </r>
  <r>
    <s v="TX500169"/>
    <x v="10"/>
    <x v="1"/>
    <n v="61"/>
    <n v="122"/>
    <x v="6"/>
    <d v="2025-01-18T00:00:00"/>
    <x v="2"/>
    <x v="4"/>
    <x v="1"/>
    <x v="0"/>
    <x v="18"/>
    <x v="11"/>
    <x v="1"/>
    <x v="2"/>
  </r>
  <r>
    <s v="TX500170"/>
    <x v="4"/>
    <x v="1"/>
    <n v="19.899999999999999"/>
    <n v="39.799999999999997"/>
    <x v="6"/>
    <d v="2025-01-10T00:00:00"/>
    <x v="2"/>
    <x v="1"/>
    <x v="0"/>
    <x v="0"/>
    <x v="28"/>
    <x v="2"/>
    <x v="1"/>
    <x v="2"/>
  </r>
  <r>
    <s v="TX500171"/>
    <x v="5"/>
    <x v="0"/>
    <n v="78.3"/>
    <n v="78.3"/>
    <x v="6"/>
    <d v="2025-01-07T00:00:00"/>
    <x v="2"/>
    <x v="0"/>
    <x v="2"/>
    <x v="0"/>
    <x v="1"/>
    <x v="7"/>
    <x v="1"/>
    <x v="2"/>
  </r>
  <r>
    <s v="TX500172"/>
    <x v="0"/>
    <x v="10"/>
    <n v="10.4"/>
    <n v="197.6"/>
    <x v="6"/>
    <d v="2025-01-09T00:00:00"/>
    <x v="1"/>
    <x v="0"/>
    <x v="2"/>
    <x v="0"/>
    <x v="2"/>
    <x v="1"/>
    <x v="1"/>
    <x v="1"/>
  </r>
  <r>
    <s v="TX500173"/>
    <x v="10"/>
    <x v="0"/>
    <n v="36.1"/>
    <n v="36.1"/>
    <x v="6"/>
    <d v="2025-01-10T00:00:00"/>
    <x v="1"/>
    <x v="3"/>
    <x v="2"/>
    <x v="0"/>
    <x v="3"/>
    <x v="2"/>
    <x v="1"/>
    <x v="1"/>
  </r>
  <r>
    <s v="TX500174"/>
    <x v="14"/>
    <x v="1"/>
    <n v="17.3"/>
    <n v="34.6"/>
    <x v="6"/>
    <d v="2025-01-09T00:00:00"/>
    <x v="2"/>
    <x v="1"/>
    <x v="2"/>
    <x v="0"/>
    <x v="3"/>
    <x v="1"/>
    <x v="1"/>
    <x v="2"/>
  </r>
  <r>
    <s v="TX500175"/>
    <x v="10"/>
    <x v="1"/>
    <n v="30.5"/>
    <n v="61"/>
    <x v="6"/>
    <d v="2025-01-08T00:00:00"/>
    <x v="2"/>
    <x v="1"/>
    <x v="2"/>
    <x v="0"/>
    <x v="3"/>
    <x v="3"/>
    <x v="1"/>
    <x v="2"/>
  </r>
  <r>
    <s v="TX500176"/>
    <x v="18"/>
    <x v="22"/>
    <n v="70.099999999999994"/>
    <n v="4346.2"/>
    <x v="6"/>
    <d v="2025-01-07T00:00:00"/>
    <x v="2"/>
    <x v="2"/>
    <x v="0"/>
    <x v="0"/>
    <x v="3"/>
    <x v="7"/>
    <x v="1"/>
    <x v="2"/>
  </r>
  <r>
    <s v="TX500177"/>
    <x v="3"/>
    <x v="0"/>
    <n v="76.099999999999994"/>
    <n v="76.099999999999994"/>
    <x v="6"/>
    <d v="2025-01-07T00:00:00"/>
    <x v="2"/>
    <x v="2"/>
    <x v="1"/>
    <x v="0"/>
    <x v="3"/>
    <x v="7"/>
    <x v="1"/>
    <x v="2"/>
  </r>
  <r>
    <s v="TX500178"/>
    <x v="15"/>
    <x v="15"/>
    <n v="34.200000000000003"/>
    <n v="444.6"/>
    <x v="6"/>
    <d v="2025-01-08T00:00:00"/>
    <x v="1"/>
    <x v="0"/>
    <x v="0"/>
    <x v="0"/>
    <x v="3"/>
    <x v="3"/>
    <x v="1"/>
    <x v="1"/>
  </r>
  <r>
    <s v="TX500179"/>
    <x v="8"/>
    <x v="9"/>
    <n v="30.3"/>
    <n v="151.5"/>
    <x v="6"/>
    <d v="2025-01-12T00:00:00"/>
    <x v="2"/>
    <x v="4"/>
    <x v="0"/>
    <x v="0"/>
    <x v="3"/>
    <x v="0"/>
    <x v="1"/>
    <x v="2"/>
  </r>
  <r>
    <s v="TX500180"/>
    <x v="6"/>
    <x v="9"/>
    <n v="52.5"/>
    <n v="262.5"/>
    <x v="6"/>
    <d v="2025-01-11T00:00:00"/>
    <x v="0"/>
    <x v="3"/>
    <x v="0"/>
    <x v="0"/>
    <x v="3"/>
    <x v="5"/>
    <x v="1"/>
    <x v="0"/>
  </r>
  <r>
    <s v="TX500181"/>
    <x v="9"/>
    <x v="5"/>
    <n v="28.7"/>
    <n v="315.7"/>
    <x v="6"/>
    <d v="2025-01-08T00:00:00"/>
    <x v="2"/>
    <x v="2"/>
    <x v="0"/>
    <x v="0"/>
    <x v="3"/>
    <x v="3"/>
    <x v="1"/>
    <x v="2"/>
  </r>
  <r>
    <s v="TX500182"/>
    <x v="7"/>
    <x v="3"/>
    <n v="52"/>
    <n v="364"/>
    <x v="6"/>
    <d v="2025-01-08T00:00:00"/>
    <x v="1"/>
    <x v="1"/>
    <x v="4"/>
    <x v="0"/>
    <x v="3"/>
    <x v="3"/>
    <x v="1"/>
    <x v="1"/>
  </r>
  <r>
    <s v="TX500183"/>
    <x v="0"/>
    <x v="0"/>
    <n v="13.3"/>
    <n v="13.3"/>
    <x v="7"/>
    <d v="2025-01-12T00:00:00"/>
    <x v="2"/>
    <x v="2"/>
    <x v="1"/>
    <x v="0"/>
    <x v="3"/>
    <x v="5"/>
    <x v="1"/>
    <x v="2"/>
  </r>
  <r>
    <s v="TX500184"/>
    <x v="0"/>
    <x v="2"/>
    <n v="15.7"/>
    <n v="47.099999999999994"/>
    <x v="7"/>
    <d v="2025-01-09T00:00:00"/>
    <x v="2"/>
    <x v="1"/>
    <x v="0"/>
    <x v="0"/>
    <x v="29"/>
    <x v="3"/>
    <x v="1"/>
    <x v="2"/>
  </r>
  <r>
    <s v="TX500185"/>
    <x v="8"/>
    <x v="1"/>
    <n v="25.6"/>
    <n v="51.2"/>
    <x v="7"/>
    <d v="2025-01-09T00:00:00"/>
    <x v="1"/>
    <x v="0"/>
    <x v="2"/>
    <x v="0"/>
    <x v="23"/>
    <x v="3"/>
    <x v="1"/>
    <x v="1"/>
  </r>
  <r>
    <s v="TX500186"/>
    <x v="8"/>
    <x v="0"/>
    <n v="43.4"/>
    <n v="43.4"/>
    <x v="7"/>
    <d v="2025-01-13T00:00:00"/>
    <x v="1"/>
    <x v="0"/>
    <x v="0"/>
    <x v="0"/>
    <x v="6"/>
    <x v="0"/>
    <x v="1"/>
    <x v="1"/>
  </r>
  <r>
    <s v="TX500187"/>
    <x v="11"/>
    <x v="11"/>
    <n v="33.4"/>
    <n v="300.59999999999997"/>
    <x v="7"/>
    <d v="2025-01-08T00:00:00"/>
    <x v="2"/>
    <x v="0"/>
    <x v="0"/>
    <x v="0"/>
    <x v="8"/>
    <x v="7"/>
    <x v="1"/>
    <x v="2"/>
  </r>
  <r>
    <s v="TX500188"/>
    <x v="8"/>
    <x v="10"/>
    <n v="55"/>
    <n v="1045"/>
    <x v="7"/>
    <d v="2025-01-09T00:00:00"/>
    <x v="2"/>
    <x v="1"/>
    <x v="2"/>
    <x v="0"/>
    <x v="8"/>
    <x v="3"/>
    <x v="1"/>
    <x v="2"/>
  </r>
  <r>
    <s v="TX500189"/>
    <x v="8"/>
    <x v="2"/>
    <n v="23.6"/>
    <n v="70.800000000000011"/>
    <x v="7"/>
    <d v="2025-01-09T00:00:00"/>
    <x v="1"/>
    <x v="0"/>
    <x v="2"/>
    <x v="0"/>
    <x v="8"/>
    <x v="3"/>
    <x v="1"/>
    <x v="1"/>
  </r>
  <r>
    <s v="TX500190"/>
    <x v="12"/>
    <x v="11"/>
    <n v="104"/>
    <n v="936"/>
    <x v="7"/>
    <d v="2025-01-10T00:00:00"/>
    <x v="2"/>
    <x v="2"/>
    <x v="2"/>
    <x v="0"/>
    <x v="17"/>
    <x v="1"/>
    <x v="1"/>
    <x v="2"/>
  </r>
  <r>
    <s v="TX500191"/>
    <x v="6"/>
    <x v="1"/>
    <n v="51.8"/>
    <n v="103.6"/>
    <x v="7"/>
    <d v="2025-01-12T00:00:00"/>
    <x v="0"/>
    <x v="0"/>
    <x v="2"/>
    <x v="0"/>
    <x v="10"/>
    <x v="5"/>
    <x v="1"/>
    <x v="0"/>
  </r>
  <r>
    <s v="TX500192"/>
    <x v="10"/>
    <x v="9"/>
    <n v="34.5"/>
    <n v="172.5"/>
    <x v="7"/>
    <d v="2025-01-10T00:00:00"/>
    <x v="0"/>
    <x v="2"/>
    <x v="2"/>
    <x v="0"/>
    <x v="11"/>
    <x v="1"/>
    <x v="1"/>
    <x v="0"/>
  </r>
  <r>
    <s v="TX500193"/>
    <x v="6"/>
    <x v="1"/>
    <n v="51.8"/>
    <n v="103.6"/>
    <x v="7"/>
    <d v="2025-01-10T00:00:00"/>
    <x v="1"/>
    <x v="1"/>
    <x v="2"/>
    <x v="0"/>
    <x v="30"/>
    <x v="1"/>
    <x v="1"/>
    <x v="1"/>
  </r>
  <r>
    <s v="TX500194"/>
    <x v="18"/>
    <x v="23"/>
    <n v="131.5"/>
    <n v="5654.5"/>
    <x v="7"/>
    <d v="2025-01-09T00:00:00"/>
    <x v="2"/>
    <x v="0"/>
    <x v="2"/>
    <x v="0"/>
    <x v="18"/>
    <x v="3"/>
    <x v="1"/>
    <x v="2"/>
  </r>
  <r>
    <s v="TX500195"/>
    <x v="8"/>
    <x v="3"/>
    <n v="47.8"/>
    <n v="334.59999999999997"/>
    <x v="7"/>
    <d v="2025-01-08T00:00:00"/>
    <x v="2"/>
    <x v="0"/>
    <x v="0"/>
    <x v="0"/>
    <x v="19"/>
    <x v="7"/>
    <x v="1"/>
    <x v="2"/>
  </r>
  <r>
    <s v="TX500196"/>
    <x v="0"/>
    <x v="1"/>
    <n v="10.199999999999999"/>
    <n v="20.399999999999999"/>
    <x v="7"/>
    <d v="2025-01-10T00:00:00"/>
    <x v="2"/>
    <x v="0"/>
    <x v="0"/>
    <x v="0"/>
    <x v="19"/>
    <x v="1"/>
    <x v="1"/>
    <x v="2"/>
  </r>
  <r>
    <s v="TX500197"/>
    <x v="8"/>
    <x v="8"/>
    <n v="41"/>
    <n v="328"/>
    <x v="7"/>
    <d v="2025-01-08T00:00:00"/>
    <x v="2"/>
    <x v="1"/>
    <x v="2"/>
    <x v="0"/>
    <x v="19"/>
    <x v="7"/>
    <x v="1"/>
    <x v="2"/>
  </r>
  <r>
    <s v="TX500198"/>
    <x v="10"/>
    <x v="3"/>
    <n v="50.8"/>
    <n v="355.59999999999997"/>
    <x v="7"/>
    <d v="2025-01-11T00:00:00"/>
    <x v="2"/>
    <x v="1"/>
    <x v="0"/>
    <x v="0"/>
    <x v="21"/>
    <x v="2"/>
    <x v="1"/>
    <x v="2"/>
  </r>
  <r>
    <s v="TX500199"/>
    <x v="18"/>
    <x v="2"/>
    <n v="39.6"/>
    <n v="118.80000000000001"/>
    <x v="7"/>
    <d v="2025-01-09T00:00:00"/>
    <x v="1"/>
    <x v="2"/>
    <x v="2"/>
    <x v="0"/>
    <x v="1"/>
    <x v="3"/>
    <x v="1"/>
    <x v="1"/>
  </r>
  <r>
    <s v="TX500200"/>
    <x v="5"/>
    <x v="1"/>
    <n v="69.5"/>
    <n v="139"/>
    <x v="7"/>
    <d v="2025-01-10T00:00:00"/>
    <x v="1"/>
    <x v="0"/>
    <x v="2"/>
    <x v="0"/>
    <x v="2"/>
    <x v="1"/>
    <x v="1"/>
    <x v="1"/>
  </r>
  <r>
    <s v="TX500201"/>
    <x v="8"/>
    <x v="8"/>
    <n v="32.6"/>
    <n v="260.8"/>
    <x v="7"/>
    <d v="2025-01-11T00:00:00"/>
    <x v="1"/>
    <x v="1"/>
    <x v="0"/>
    <x v="0"/>
    <x v="3"/>
    <x v="2"/>
    <x v="1"/>
    <x v="1"/>
  </r>
  <r>
    <s v="TX500202"/>
    <x v="7"/>
    <x v="1"/>
    <n v="49.1"/>
    <n v="98.2"/>
    <x v="7"/>
    <d v="2025-01-16T00:00:00"/>
    <x v="1"/>
    <x v="3"/>
    <x v="2"/>
    <x v="0"/>
    <x v="3"/>
    <x v="9"/>
    <x v="1"/>
    <x v="1"/>
  </r>
  <r>
    <s v="TX500203"/>
    <x v="6"/>
    <x v="1"/>
    <n v="49.4"/>
    <n v="98.8"/>
    <x v="8"/>
    <d v="2025-01-10T00:00:00"/>
    <x v="2"/>
    <x v="2"/>
    <x v="0"/>
    <x v="0"/>
    <x v="3"/>
    <x v="3"/>
    <x v="1"/>
    <x v="2"/>
  </r>
  <r>
    <s v="TX500204"/>
    <x v="7"/>
    <x v="3"/>
    <n v="65.099999999999994"/>
    <n v="455.69999999999993"/>
    <x v="8"/>
    <d v="2025-01-12T00:00:00"/>
    <x v="2"/>
    <x v="2"/>
    <x v="2"/>
    <x v="0"/>
    <x v="3"/>
    <x v="2"/>
    <x v="1"/>
    <x v="2"/>
  </r>
  <r>
    <s v="TX500205"/>
    <x v="3"/>
    <x v="1"/>
    <n v="52.1"/>
    <n v="104.2"/>
    <x v="8"/>
    <d v="2025-01-13T00:00:00"/>
    <x v="2"/>
    <x v="2"/>
    <x v="0"/>
    <x v="0"/>
    <x v="3"/>
    <x v="5"/>
    <x v="1"/>
    <x v="2"/>
  </r>
  <r>
    <s v="TX500206"/>
    <x v="2"/>
    <x v="12"/>
    <n v="129.19999999999999"/>
    <n v="516.79999999999995"/>
    <x v="8"/>
    <d v="2025-01-10T00:00:00"/>
    <x v="2"/>
    <x v="1"/>
    <x v="0"/>
    <x v="0"/>
    <x v="3"/>
    <x v="3"/>
    <x v="1"/>
    <x v="2"/>
  </r>
  <r>
    <s v="TX500207"/>
    <x v="1"/>
    <x v="10"/>
    <n v="81.8"/>
    <n v="1554.2"/>
    <x v="8"/>
    <d v="2025-01-09T00:00:00"/>
    <x v="2"/>
    <x v="1"/>
    <x v="1"/>
    <x v="0"/>
    <x v="3"/>
    <x v="7"/>
    <x v="1"/>
    <x v="2"/>
  </r>
  <r>
    <s v="TX500208"/>
    <x v="17"/>
    <x v="0"/>
    <n v="24.9"/>
    <n v="24.9"/>
    <x v="8"/>
    <d v="2025-01-13T00:00:00"/>
    <x v="2"/>
    <x v="1"/>
    <x v="0"/>
    <x v="0"/>
    <x v="3"/>
    <x v="5"/>
    <x v="1"/>
    <x v="2"/>
  </r>
  <r>
    <s v="TX500209"/>
    <x v="0"/>
    <x v="2"/>
    <n v="49.4"/>
    <n v="148.19999999999999"/>
    <x v="8"/>
    <d v="2025-01-12T00:00:00"/>
    <x v="2"/>
    <x v="4"/>
    <x v="4"/>
    <x v="0"/>
    <x v="3"/>
    <x v="2"/>
    <x v="1"/>
    <x v="2"/>
  </r>
  <r>
    <s v="TX500210"/>
    <x v="8"/>
    <x v="1"/>
    <n v="22.7"/>
    <n v="45.4"/>
    <x v="8"/>
    <d v="2025-01-10T00:00:00"/>
    <x v="1"/>
    <x v="3"/>
    <x v="2"/>
    <x v="0"/>
    <x v="3"/>
    <x v="3"/>
    <x v="1"/>
    <x v="1"/>
  </r>
  <r>
    <s v="TX500211"/>
    <x v="1"/>
    <x v="0"/>
    <n v="77.3"/>
    <n v="77.3"/>
    <x v="8"/>
    <d v="2025-01-09T00:00:00"/>
    <x v="2"/>
    <x v="0"/>
    <x v="2"/>
    <x v="0"/>
    <x v="6"/>
    <x v="7"/>
    <x v="1"/>
    <x v="2"/>
  </r>
  <r>
    <s v="TX500212"/>
    <x v="1"/>
    <x v="9"/>
    <n v="109.1"/>
    <n v="545.5"/>
    <x v="8"/>
    <d v="2025-01-12T00:00:00"/>
    <x v="2"/>
    <x v="0"/>
    <x v="0"/>
    <x v="0"/>
    <x v="6"/>
    <x v="2"/>
    <x v="1"/>
    <x v="2"/>
  </r>
  <r>
    <s v="TX500213"/>
    <x v="2"/>
    <x v="12"/>
    <n v="53.9"/>
    <n v="215.6"/>
    <x v="8"/>
    <d v="2025-01-10T00:00:00"/>
    <x v="1"/>
    <x v="0"/>
    <x v="1"/>
    <x v="0"/>
    <x v="8"/>
    <x v="3"/>
    <x v="1"/>
    <x v="1"/>
  </r>
  <r>
    <s v="TX500214"/>
    <x v="9"/>
    <x v="18"/>
    <n v="21.2"/>
    <n v="551.19999999999993"/>
    <x v="8"/>
    <d v="2025-01-09T00:00:00"/>
    <x v="2"/>
    <x v="0"/>
    <x v="0"/>
    <x v="0"/>
    <x v="9"/>
    <x v="7"/>
    <x v="1"/>
    <x v="2"/>
  </r>
  <r>
    <s v="TX500215"/>
    <x v="16"/>
    <x v="12"/>
    <n v="69"/>
    <n v="276"/>
    <x v="8"/>
    <d v="2025-01-11T00:00:00"/>
    <x v="2"/>
    <x v="1"/>
    <x v="1"/>
    <x v="0"/>
    <x v="18"/>
    <x v="1"/>
    <x v="1"/>
    <x v="2"/>
  </r>
  <r>
    <s v="TX500216"/>
    <x v="6"/>
    <x v="2"/>
    <n v="46.2"/>
    <n v="138.60000000000002"/>
    <x v="8"/>
    <d v="2025-01-11T00:00:00"/>
    <x v="2"/>
    <x v="0"/>
    <x v="2"/>
    <x v="0"/>
    <x v="31"/>
    <x v="1"/>
    <x v="1"/>
    <x v="2"/>
  </r>
  <r>
    <s v="TX500217"/>
    <x v="1"/>
    <x v="9"/>
    <n v="97.4"/>
    <n v="487"/>
    <x v="8"/>
    <d v="2025-01-13T00:00:00"/>
    <x v="2"/>
    <x v="4"/>
    <x v="2"/>
    <x v="0"/>
    <x v="21"/>
    <x v="5"/>
    <x v="1"/>
    <x v="2"/>
  </r>
  <r>
    <s v="TX500218"/>
    <x v="8"/>
    <x v="9"/>
    <n v="21"/>
    <n v="105"/>
    <x v="8"/>
    <d v="2025-01-10T00:00:00"/>
    <x v="1"/>
    <x v="0"/>
    <x v="1"/>
    <x v="0"/>
    <x v="21"/>
    <x v="3"/>
    <x v="1"/>
    <x v="1"/>
  </r>
  <r>
    <s v="TX500219"/>
    <x v="5"/>
    <x v="1"/>
    <n v="32.700000000000003"/>
    <n v="65.400000000000006"/>
    <x v="9"/>
    <d v="2025-01-13T00:00:00"/>
    <x v="2"/>
    <x v="1"/>
    <x v="0"/>
    <x v="0"/>
    <x v="2"/>
    <x v="2"/>
    <x v="1"/>
    <x v="2"/>
  </r>
  <r>
    <s v="TX500220"/>
    <x v="6"/>
    <x v="12"/>
    <n v="48"/>
    <n v="192"/>
    <x v="9"/>
    <d v="2025-01-11T00:00:00"/>
    <x v="1"/>
    <x v="3"/>
    <x v="0"/>
    <x v="0"/>
    <x v="3"/>
    <x v="3"/>
    <x v="1"/>
    <x v="1"/>
  </r>
  <r>
    <s v="TX500221"/>
    <x v="6"/>
    <x v="2"/>
    <n v="68.2"/>
    <n v="204.60000000000002"/>
    <x v="9"/>
    <d v="2025-01-14T00:00:00"/>
    <x v="0"/>
    <x v="0"/>
    <x v="2"/>
    <x v="0"/>
    <x v="3"/>
    <x v="5"/>
    <x v="1"/>
    <x v="0"/>
  </r>
  <r>
    <s v="TX500222"/>
    <x v="5"/>
    <x v="0"/>
    <n v="45.4"/>
    <n v="45.4"/>
    <x v="9"/>
    <d v="2025-01-12T00:00:00"/>
    <x v="1"/>
    <x v="1"/>
    <x v="0"/>
    <x v="0"/>
    <x v="3"/>
    <x v="1"/>
    <x v="1"/>
    <x v="1"/>
  </r>
  <r>
    <s v="TX500223"/>
    <x v="12"/>
    <x v="1"/>
    <n v="53.9"/>
    <n v="107.8"/>
    <x v="9"/>
    <d v="2025-01-11T00:00:00"/>
    <x v="2"/>
    <x v="2"/>
    <x v="0"/>
    <x v="0"/>
    <x v="3"/>
    <x v="3"/>
    <x v="1"/>
    <x v="2"/>
  </r>
  <r>
    <s v="TX500224"/>
    <x v="2"/>
    <x v="12"/>
    <n v="62.1"/>
    <n v="248.4"/>
    <x v="9"/>
    <d v="2025-01-14T00:00:00"/>
    <x v="2"/>
    <x v="0"/>
    <x v="0"/>
    <x v="0"/>
    <x v="4"/>
    <x v="5"/>
    <x v="1"/>
    <x v="2"/>
  </r>
  <r>
    <s v="TX500225"/>
    <x v="13"/>
    <x v="3"/>
    <n v="33.1"/>
    <n v="231.70000000000002"/>
    <x v="9"/>
    <d v="2025-01-15T00:00:00"/>
    <x v="1"/>
    <x v="1"/>
    <x v="0"/>
    <x v="0"/>
    <x v="6"/>
    <x v="0"/>
    <x v="1"/>
    <x v="1"/>
  </r>
  <r>
    <s v="TX500226"/>
    <x v="18"/>
    <x v="9"/>
    <n v="35.200000000000003"/>
    <n v="176"/>
    <x v="9"/>
    <d v="2025-01-10T00:00:00"/>
    <x v="2"/>
    <x v="1"/>
    <x v="0"/>
    <x v="0"/>
    <x v="6"/>
    <x v="7"/>
    <x v="1"/>
    <x v="2"/>
  </r>
  <r>
    <s v="TX500227"/>
    <x v="9"/>
    <x v="2"/>
    <n v="32.1"/>
    <n v="96.300000000000011"/>
    <x v="9"/>
    <d v="2025-01-15T00:00:00"/>
    <x v="1"/>
    <x v="3"/>
    <x v="0"/>
    <x v="0"/>
    <x v="8"/>
    <x v="0"/>
    <x v="1"/>
    <x v="1"/>
  </r>
  <r>
    <s v="TX500228"/>
    <x v="11"/>
    <x v="0"/>
    <n v="38.1"/>
    <n v="38.1"/>
    <x v="9"/>
    <d v="2025-01-15T00:00:00"/>
    <x v="2"/>
    <x v="0"/>
    <x v="2"/>
    <x v="0"/>
    <x v="8"/>
    <x v="0"/>
    <x v="1"/>
    <x v="2"/>
  </r>
  <r>
    <s v="TX500229"/>
    <x v="8"/>
    <x v="0"/>
    <n v="65.2"/>
    <n v="65.2"/>
    <x v="9"/>
    <d v="2025-01-15T00:00:00"/>
    <x v="2"/>
    <x v="3"/>
    <x v="1"/>
    <x v="0"/>
    <x v="8"/>
    <x v="0"/>
    <x v="1"/>
    <x v="2"/>
  </r>
  <r>
    <s v="TX500230"/>
    <x v="10"/>
    <x v="3"/>
    <n v="55.2"/>
    <n v="386.40000000000003"/>
    <x v="9"/>
    <d v="2025-01-11T00:00:00"/>
    <x v="1"/>
    <x v="2"/>
    <x v="0"/>
    <x v="0"/>
    <x v="11"/>
    <x v="3"/>
    <x v="1"/>
    <x v="1"/>
  </r>
  <r>
    <s v="TX500231"/>
    <x v="6"/>
    <x v="0"/>
    <n v="62"/>
    <n v="62"/>
    <x v="9"/>
    <d v="2025-01-14T00:00:00"/>
    <x v="2"/>
    <x v="0"/>
    <x v="0"/>
    <x v="0"/>
    <x v="11"/>
    <x v="5"/>
    <x v="1"/>
    <x v="2"/>
  </r>
  <r>
    <s v="TX500232"/>
    <x v="7"/>
    <x v="2"/>
    <n v="45.9"/>
    <n v="137.69999999999999"/>
    <x v="9"/>
    <d v="2025-01-11T00:00:00"/>
    <x v="2"/>
    <x v="2"/>
    <x v="0"/>
    <x v="0"/>
    <x v="32"/>
    <x v="3"/>
    <x v="1"/>
    <x v="2"/>
  </r>
  <r>
    <s v="TX500233"/>
    <x v="18"/>
    <x v="2"/>
    <n v="58.3"/>
    <n v="174.89999999999998"/>
    <x v="9"/>
    <d v="2025-01-10T00:00:00"/>
    <x v="1"/>
    <x v="1"/>
    <x v="1"/>
    <x v="0"/>
    <x v="18"/>
    <x v="7"/>
    <x v="1"/>
    <x v="1"/>
  </r>
  <r>
    <s v="TX500234"/>
    <x v="8"/>
    <x v="1"/>
    <n v="22.3"/>
    <n v="44.6"/>
    <x v="9"/>
    <d v="2025-01-13T00:00:00"/>
    <x v="2"/>
    <x v="0"/>
    <x v="2"/>
    <x v="0"/>
    <x v="20"/>
    <x v="2"/>
    <x v="1"/>
    <x v="2"/>
  </r>
  <r>
    <s v="TX500235"/>
    <x v="19"/>
    <x v="9"/>
    <n v="24"/>
    <n v="120"/>
    <x v="9"/>
    <d v="2025-01-11T00:00:00"/>
    <x v="1"/>
    <x v="4"/>
    <x v="0"/>
    <x v="0"/>
    <x v="1"/>
    <x v="3"/>
    <x v="1"/>
    <x v="1"/>
  </r>
  <r>
    <s v="TX500236"/>
    <x v="0"/>
    <x v="7"/>
    <n v="21.3"/>
    <n v="213"/>
    <x v="9"/>
    <d v="2025-01-10T00:00:00"/>
    <x v="2"/>
    <x v="1"/>
    <x v="2"/>
    <x v="0"/>
    <x v="22"/>
    <x v="7"/>
    <x v="1"/>
    <x v="2"/>
  </r>
  <r>
    <s v="TX500237"/>
    <x v="6"/>
    <x v="24"/>
    <n v="57.8"/>
    <n v="2369.7999999999997"/>
    <x v="9"/>
    <d v="2025-01-12T00:00:00"/>
    <x v="2"/>
    <x v="0"/>
    <x v="2"/>
    <x v="0"/>
    <x v="3"/>
    <x v="1"/>
    <x v="1"/>
    <x v="2"/>
  </r>
  <r>
    <s v="TX500238"/>
    <x v="10"/>
    <x v="2"/>
    <n v="67.599999999999994"/>
    <n v="202.79999999999998"/>
    <x v="9"/>
    <d v="2025-01-11T00:00:00"/>
    <x v="2"/>
    <x v="0"/>
    <x v="0"/>
    <x v="0"/>
    <x v="3"/>
    <x v="3"/>
    <x v="1"/>
    <x v="2"/>
  </r>
  <r>
    <s v="TX500239"/>
    <x v="6"/>
    <x v="13"/>
    <n v="66.7"/>
    <n v="400.20000000000005"/>
    <x v="9"/>
    <d v="2025-01-14T00:00:00"/>
    <x v="1"/>
    <x v="4"/>
    <x v="1"/>
    <x v="0"/>
    <x v="3"/>
    <x v="5"/>
    <x v="1"/>
    <x v="1"/>
  </r>
  <r>
    <s v="TX500240"/>
    <x v="1"/>
    <x v="12"/>
    <n v="53.1"/>
    <n v="212.4"/>
    <x v="9"/>
    <d v="2025-01-12T00:00:00"/>
    <x v="2"/>
    <x v="1"/>
    <x v="0"/>
    <x v="0"/>
    <x v="3"/>
    <x v="1"/>
    <x v="1"/>
    <x v="2"/>
  </r>
  <r>
    <s v="TX500241"/>
    <x v="12"/>
    <x v="2"/>
    <n v="57.4"/>
    <n v="172.2"/>
    <x v="9"/>
    <d v="2025-01-13T00:00:00"/>
    <x v="2"/>
    <x v="0"/>
    <x v="2"/>
    <x v="0"/>
    <x v="29"/>
    <x v="2"/>
    <x v="1"/>
    <x v="2"/>
  </r>
  <r>
    <s v="TX500242"/>
    <x v="2"/>
    <x v="9"/>
    <n v="58.1"/>
    <n v="290.5"/>
    <x v="9"/>
    <d v="2025-01-10T00:00:00"/>
    <x v="1"/>
    <x v="2"/>
    <x v="2"/>
    <x v="0"/>
    <x v="6"/>
    <x v="7"/>
    <x v="1"/>
    <x v="1"/>
  </r>
  <r>
    <s v="TX500243"/>
    <x v="5"/>
    <x v="2"/>
    <n v="31.8"/>
    <n v="95.4"/>
    <x v="10"/>
    <d v="2025-01-13T00:00:00"/>
    <x v="1"/>
    <x v="3"/>
    <x v="0"/>
    <x v="0"/>
    <x v="6"/>
    <x v="1"/>
    <x v="1"/>
    <x v="1"/>
  </r>
  <r>
    <s v="TX500244"/>
    <x v="4"/>
    <x v="2"/>
    <n v="31.5"/>
    <n v="94.5"/>
    <x v="10"/>
    <d v="2025-01-14T00:00:00"/>
    <x v="1"/>
    <x v="0"/>
    <x v="1"/>
    <x v="0"/>
    <x v="8"/>
    <x v="2"/>
    <x v="1"/>
    <x v="1"/>
  </r>
  <r>
    <s v="TX500245"/>
    <x v="6"/>
    <x v="3"/>
    <n v="55.9"/>
    <n v="391.3"/>
    <x v="10"/>
    <d v="2025-01-15T00:00:00"/>
    <x v="2"/>
    <x v="1"/>
    <x v="2"/>
    <x v="0"/>
    <x v="8"/>
    <x v="5"/>
    <x v="1"/>
    <x v="2"/>
  </r>
  <r>
    <s v="TX500246"/>
    <x v="8"/>
    <x v="1"/>
    <n v="36.4"/>
    <n v="72.8"/>
    <x v="10"/>
    <d v="2025-01-12T00:00:00"/>
    <x v="1"/>
    <x v="1"/>
    <x v="1"/>
    <x v="0"/>
    <x v="9"/>
    <x v="3"/>
    <x v="1"/>
    <x v="1"/>
  </r>
  <r>
    <s v="TX500247"/>
    <x v="1"/>
    <x v="9"/>
    <n v="47.3"/>
    <n v="236.5"/>
    <x v="10"/>
    <d v="2025-01-14T00:00:00"/>
    <x v="1"/>
    <x v="2"/>
    <x v="0"/>
    <x v="0"/>
    <x v="10"/>
    <x v="2"/>
    <x v="1"/>
    <x v="1"/>
  </r>
  <r>
    <s v="TX500248"/>
    <x v="6"/>
    <x v="2"/>
    <n v="82.5"/>
    <n v="247.5"/>
    <x v="10"/>
    <d v="2025-01-12T00:00:00"/>
    <x v="1"/>
    <x v="0"/>
    <x v="0"/>
    <x v="0"/>
    <x v="11"/>
    <x v="3"/>
    <x v="1"/>
    <x v="1"/>
  </r>
  <r>
    <s v="TX500249"/>
    <x v="0"/>
    <x v="0"/>
    <n v="14.3"/>
    <n v="14.3"/>
    <x v="10"/>
    <d v="2025-01-12T00:00:00"/>
    <x v="2"/>
    <x v="0"/>
    <x v="0"/>
    <x v="0"/>
    <x v="21"/>
    <x v="3"/>
    <x v="1"/>
    <x v="2"/>
  </r>
  <r>
    <s v="TX500250"/>
    <x v="2"/>
    <x v="13"/>
    <n v="57.6"/>
    <n v="345.6"/>
    <x v="10"/>
    <d v="2025-01-25T00:00:00"/>
    <x v="2"/>
    <x v="0"/>
    <x v="0"/>
    <x v="0"/>
    <x v="21"/>
    <x v="12"/>
    <x v="1"/>
    <x v="2"/>
  </r>
  <r>
    <s v="TX500251"/>
    <x v="2"/>
    <x v="2"/>
    <n v="142.4"/>
    <n v="427.20000000000005"/>
    <x v="10"/>
    <d v="2025-01-13T00:00:00"/>
    <x v="1"/>
    <x v="4"/>
    <x v="1"/>
    <x v="0"/>
    <x v="21"/>
    <x v="1"/>
    <x v="1"/>
    <x v="1"/>
  </r>
  <r>
    <s v="TX500252"/>
    <x v="12"/>
    <x v="0"/>
    <n v="30.2"/>
    <n v="30.2"/>
    <x v="10"/>
    <d v="2025-01-15T00:00:00"/>
    <x v="1"/>
    <x v="1"/>
    <x v="2"/>
    <x v="0"/>
    <x v="2"/>
    <x v="5"/>
    <x v="1"/>
    <x v="1"/>
  </r>
  <r>
    <s v="TX500253"/>
    <x v="18"/>
    <x v="2"/>
    <n v="65.3"/>
    <n v="195.89999999999998"/>
    <x v="10"/>
    <d v="2025-01-12T00:00:00"/>
    <x v="3"/>
    <x v="1"/>
    <x v="0"/>
    <x v="0"/>
    <x v="33"/>
    <x v="3"/>
    <x v="1"/>
    <x v="3"/>
  </r>
  <r>
    <s v="TX500254"/>
    <x v="0"/>
    <x v="1"/>
    <n v="33.4"/>
    <n v="66.8"/>
    <x v="10"/>
    <d v="2025-01-12T00:00:00"/>
    <x v="1"/>
    <x v="1"/>
    <x v="1"/>
    <x v="0"/>
    <x v="22"/>
    <x v="3"/>
    <x v="1"/>
    <x v="1"/>
  </r>
  <r>
    <s v="TX500255"/>
    <x v="7"/>
    <x v="1"/>
    <n v="45.1"/>
    <n v="90.2"/>
    <x v="10"/>
    <d v="2025-01-19T00:00:00"/>
    <x v="1"/>
    <x v="0"/>
    <x v="0"/>
    <x v="0"/>
    <x v="34"/>
    <x v="9"/>
    <x v="1"/>
    <x v="1"/>
  </r>
  <r>
    <s v="TX500256"/>
    <x v="2"/>
    <x v="3"/>
    <n v="61.7"/>
    <n v="431.90000000000003"/>
    <x v="10"/>
    <d v="2025-01-13T00:00:00"/>
    <x v="2"/>
    <x v="4"/>
    <x v="0"/>
    <x v="0"/>
    <x v="3"/>
    <x v="1"/>
    <x v="1"/>
    <x v="2"/>
  </r>
  <r>
    <s v="TX500257"/>
    <x v="9"/>
    <x v="2"/>
    <n v="45.1"/>
    <n v="135.30000000000001"/>
    <x v="11"/>
    <d v="2025-01-13T00:00:00"/>
    <x v="1"/>
    <x v="4"/>
    <x v="1"/>
    <x v="0"/>
    <x v="3"/>
    <x v="3"/>
    <x v="2"/>
    <x v="1"/>
  </r>
  <r>
    <s v="TX500258"/>
    <x v="15"/>
    <x v="9"/>
    <n v="22.7"/>
    <n v="113.5"/>
    <x v="11"/>
    <d v="2025-01-17T00:00:00"/>
    <x v="1"/>
    <x v="0"/>
    <x v="2"/>
    <x v="0"/>
    <x v="35"/>
    <x v="0"/>
    <x v="2"/>
    <x v="1"/>
  </r>
  <r>
    <s v="TX500259"/>
    <x v="8"/>
    <x v="0"/>
    <n v="17.600000000000001"/>
    <n v="17.600000000000001"/>
    <x v="11"/>
    <d v="2025-01-13T00:00:00"/>
    <x v="2"/>
    <x v="0"/>
    <x v="2"/>
    <x v="0"/>
    <x v="23"/>
    <x v="3"/>
    <x v="2"/>
    <x v="2"/>
  </r>
  <r>
    <s v="TX500260"/>
    <x v="14"/>
    <x v="1"/>
    <n v="11.3"/>
    <n v="22.6"/>
    <x v="11"/>
    <d v="2025-01-15T00:00:00"/>
    <x v="2"/>
    <x v="3"/>
    <x v="2"/>
    <x v="0"/>
    <x v="23"/>
    <x v="2"/>
    <x v="2"/>
    <x v="2"/>
  </r>
  <r>
    <s v="TX500261"/>
    <x v="6"/>
    <x v="2"/>
    <n v="53.4"/>
    <n v="160.19999999999999"/>
    <x v="11"/>
    <d v="2025-01-15T00:00:00"/>
    <x v="1"/>
    <x v="3"/>
    <x v="2"/>
    <x v="0"/>
    <x v="36"/>
    <x v="2"/>
    <x v="2"/>
    <x v="1"/>
  </r>
  <r>
    <s v="TX500262"/>
    <x v="6"/>
    <x v="5"/>
    <n v="51.1"/>
    <n v="562.1"/>
    <x v="11"/>
    <d v="2025-01-14T00:00:00"/>
    <x v="2"/>
    <x v="2"/>
    <x v="2"/>
    <x v="0"/>
    <x v="8"/>
    <x v="1"/>
    <x v="2"/>
    <x v="2"/>
  </r>
  <r>
    <s v="TX500263"/>
    <x v="8"/>
    <x v="1"/>
    <n v="27.5"/>
    <n v="55"/>
    <x v="11"/>
    <d v="2025-01-13T00:00:00"/>
    <x v="1"/>
    <x v="4"/>
    <x v="1"/>
    <x v="0"/>
    <x v="8"/>
    <x v="3"/>
    <x v="2"/>
    <x v="1"/>
  </r>
  <r>
    <s v="TX500264"/>
    <x v="9"/>
    <x v="0"/>
    <n v="33.5"/>
    <n v="33.5"/>
    <x v="11"/>
    <d v="2025-01-14T00:00:00"/>
    <x v="2"/>
    <x v="0"/>
    <x v="4"/>
    <x v="0"/>
    <x v="8"/>
    <x v="1"/>
    <x v="2"/>
    <x v="2"/>
  </r>
  <r>
    <s v="TX500265"/>
    <x v="4"/>
    <x v="0"/>
    <n v="59.5"/>
    <n v="59.5"/>
    <x v="11"/>
    <d v="2025-01-12T00:00:00"/>
    <x v="1"/>
    <x v="0"/>
    <x v="2"/>
    <x v="0"/>
    <x v="18"/>
    <x v="7"/>
    <x v="2"/>
    <x v="1"/>
  </r>
  <r>
    <s v="TX500266"/>
    <x v="17"/>
    <x v="12"/>
    <n v="23.5"/>
    <n v="94"/>
    <x v="11"/>
    <d v="2025-01-13T00:00:00"/>
    <x v="2"/>
    <x v="3"/>
    <x v="3"/>
    <x v="0"/>
    <x v="19"/>
    <x v="3"/>
    <x v="2"/>
    <x v="2"/>
  </r>
  <r>
    <s v="TX500267"/>
    <x v="6"/>
    <x v="0"/>
    <n v="49.7"/>
    <n v="49.7"/>
    <x v="11"/>
    <d v="2025-01-13T00:00:00"/>
    <x v="0"/>
    <x v="1"/>
    <x v="2"/>
    <x v="0"/>
    <x v="20"/>
    <x v="3"/>
    <x v="2"/>
    <x v="0"/>
  </r>
  <r>
    <s v="TX500268"/>
    <x v="6"/>
    <x v="12"/>
    <n v="44.2"/>
    <n v="176.8"/>
    <x v="11"/>
    <d v="2025-01-15T00:00:00"/>
    <x v="2"/>
    <x v="0"/>
    <x v="2"/>
    <x v="0"/>
    <x v="21"/>
    <x v="2"/>
    <x v="2"/>
    <x v="2"/>
  </r>
  <r>
    <s v="TX500269"/>
    <x v="8"/>
    <x v="0"/>
    <n v="22.1"/>
    <n v="22.1"/>
    <x v="11"/>
    <d v="2025-01-16T00:00:00"/>
    <x v="2"/>
    <x v="1"/>
    <x v="1"/>
    <x v="0"/>
    <x v="33"/>
    <x v="5"/>
    <x v="2"/>
    <x v="2"/>
  </r>
  <r>
    <s v="TX500270"/>
    <x v="6"/>
    <x v="2"/>
    <n v="90.9"/>
    <n v="272.70000000000005"/>
    <x v="11"/>
    <d v="2025-01-13T00:00:00"/>
    <x v="2"/>
    <x v="2"/>
    <x v="4"/>
    <x v="0"/>
    <x v="3"/>
    <x v="3"/>
    <x v="2"/>
    <x v="2"/>
  </r>
  <r>
    <s v="TX500271"/>
    <x v="8"/>
    <x v="2"/>
    <n v="44.5"/>
    <n v="133.5"/>
    <x v="11"/>
    <d v="2025-01-13T00:00:00"/>
    <x v="2"/>
    <x v="1"/>
    <x v="0"/>
    <x v="0"/>
    <x v="3"/>
    <x v="3"/>
    <x v="2"/>
    <x v="2"/>
  </r>
  <r>
    <s v="TX500272"/>
    <x v="9"/>
    <x v="13"/>
    <n v="32.299999999999997"/>
    <n v="193.79999999999998"/>
    <x v="11"/>
    <d v="2025-01-16T00:00:00"/>
    <x v="2"/>
    <x v="0"/>
    <x v="0"/>
    <x v="0"/>
    <x v="3"/>
    <x v="5"/>
    <x v="2"/>
    <x v="2"/>
  </r>
  <r>
    <s v="TX500273"/>
    <x v="17"/>
    <x v="2"/>
    <n v="87.5"/>
    <n v="262.5"/>
    <x v="11"/>
    <d v="2025-01-13T00:00:00"/>
    <x v="2"/>
    <x v="1"/>
    <x v="1"/>
    <x v="0"/>
    <x v="3"/>
    <x v="3"/>
    <x v="2"/>
    <x v="2"/>
  </r>
  <r>
    <s v="TX500274"/>
    <x v="16"/>
    <x v="9"/>
    <n v="48.7"/>
    <n v="243.5"/>
    <x v="11"/>
    <d v="2025-01-13T00:00:00"/>
    <x v="1"/>
    <x v="2"/>
    <x v="0"/>
    <x v="0"/>
    <x v="3"/>
    <x v="3"/>
    <x v="2"/>
    <x v="1"/>
  </r>
  <r>
    <s v="TX500275"/>
    <x v="0"/>
    <x v="9"/>
    <n v="22.5"/>
    <n v="112.5"/>
    <x v="11"/>
    <d v="2025-01-13T00:00:00"/>
    <x v="1"/>
    <x v="0"/>
    <x v="0"/>
    <x v="0"/>
    <x v="3"/>
    <x v="3"/>
    <x v="2"/>
    <x v="1"/>
  </r>
  <r>
    <s v="TX500276"/>
    <x v="1"/>
    <x v="8"/>
    <n v="65.900000000000006"/>
    <n v="527.20000000000005"/>
    <x v="11"/>
    <d v="2025-01-15T00:00:00"/>
    <x v="2"/>
    <x v="1"/>
    <x v="2"/>
    <x v="0"/>
    <x v="3"/>
    <x v="2"/>
    <x v="2"/>
    <x v="2"/>
  </r>
  <r>
    <s v="TX500277"/>
    <x v="6"/>
    <x v="9"/>
    <n v="41.9"/>
    <n v="209.5"/>
    <x v="11"/>
    <d v="2025-01-19T00:00:00"/>
    <x v="0"/>
    <x v="0"/>
    <x v="0"/>
    <x v="0"/>
    <x v="3"/>
    <x v="6"/>
    <x v="2"/>
    <x v="0"/>
  </r>
  <r>
    <s v="TX500278"/>
    <x v="1"/>
    <x v="9"/>
    <n v="67.5"/>
    <n v="337.5"/>
    <x v="11"/>
    <d v="2025-01-13T00:00:00"/>
    <x v="2"/>
    <x v="0"/>
    <x v="2"/>
    <x v="0"/>
    <x v="3"/>
    <x v="3"/>
    <x v="2"/>
    <x v="2"/>
  </r>
  <r>
    <s v="TX500279"/>
    <x v="9"/>
    <x v="0"/>
    <n v="60.4"/>
    <n v="60.4"/>
    <x v="12"/>
    <d v="2025-01-15T00:00:00"/>
    <x v="2"/>
    <x v="1"/>
    <x v="1"/>
    <x v="0"/>
    <x v="3"/>
    <x v="1"/>
    <x v="2"/>
    <x v="2"/>
  </r>
  <r>
    <s v="TX500280"/>
    <x v="1"/>
    <x v="3"/>
    <n v="30.4"/>
    <n v="212.79999999999998"/>
    <x v="12"/>
    <d v="2025-01-16T00:00:00"/>
    <x v="2"/>
    <x v="4"/>
    <x v="0"/>
    <x v="0"/>
    <x v="3"/>
    <x v="2"/>
    <x v="2"/>
    <x v="2"/>
  </r>
  <r>
    <s v="TX500281"/>
    <x v="14"/>
    <x v="1"/>
    <n v="24.5"/>
    <n v="49"/>
    <x v="12"/>
    <d v="2025-01-14T00:00:00"/>
    <x v="1"/>
    <x v="3"/>
    <x v="2"/>
    <x v="0"/>
    <x v="3"/>
    <x v="3"/>
    <x v="2"/>
    <x v="1"/>
  </r>
  <r>
    <s v="TX500282"/>
    <x v="2"/>
    <x v="2"/>
    <n v="105.9"/>
    <n v="317.70000000000005"/>
    <x v="12"/>
    <d v="2025-01-18T00:00:00"/>
    <x v="1"/>
    <x v="0"/>
    <x v="0"/>
    <x v="0"/>
    <x v="37"/>
    <x v="0"/>
    <x v="2"/>
    <x v="1"/>
  </r>
  <r>
    <s v="TX500283"/>
    <x v="10"/>
    <x v="25"/>
    <n v="25.9"/>
    <n v="621.59999999999991"/>
    <x v="12"/>
    <d v="2025-01-14T00:00:00"/>
    <x v="2"/>
    <x v="4"/>
    <x v="0"/>
    <x v="0"/>
    <x v="23"/>
    <x v="3"/>
    <x v="2"/>
    <x v="2"/>
  </r>
  <r>
    <s v="TX500284"/>
    <x v="6"/>
    <x v="2"/>
    <n v="66.8"/>
    <n v="200.39999999999998"/>
    <x v="12"/>
    <d v="2025-01-13T00:00:00"/>
    <x v="1"/>
    <x v="0"/>
    <x v="0"/>
    <x v="0"/>
    <x v="23"/>
    <x v="7"/>
    <x v="2"/>
    <x v="1"/>
  </r>
  <r>
    <s v="TX500285"/>
    <x v="6"/>
    <x v="2"/>
    <n v="112.3"/>
    <n v="336.9"/>
    <x v="12"/>
    <d v="2025-01-14T00:00:00"/>
    <x v="1"/>
    <x v="2"/>
    <x v="4"/>
    <x v="0"/>
    <x v="6"/>
    <x v="3"/>
    <x v="2"/>
    <x v="1"/>
  </r>
  <r>
    <s v="TX500286"/>
    <x v="1"/>
    <x v="13"/>
    <n v="94.1"/>
    <n v="564.59999999999991"/>
    <x v="12"/>
    <d v="2025-01-14T00:00:00"/>
    <x v="2"/>
    <x v="0"/>
    <x v="4"/>
    <x v="0"/>
    <x v="6"/>
    <x v="3"/>
    <x v="2"/>
    <x v="2"/>
  </r>
  <r>
    <s v="TX500287"/>
    <x v="5"/>
    <x v="0"/>
    <n v="40.700000000000003"/>
    <n v="40.700000000000003"/>
    <x v="12"/>
    <d v="2025-01-16T00:00:00"/>
    <x v="2"/>
    <x v="2"/>
    <x v="0"/>
    <x v="0"/>
    <x v="6"/>
    <x v="2"/>
    <x v="2"/>
    <x v="2"/>
  </r>
  <r>
    <s v="TX500288"/>
    <x v="3"/>
    <x v="1"/>
    <n v="71.400000000000006"/>
    <n v="142.80000000000001"/>
    <x v="12"/>
    <d v="2025-01-14T00:00:00"/>
    <x v="1"/>
    <x v="0"/>
    <x v="0"/>
    <x v="0"/>
    <x v="7"/>
    <x v="3"/>
    <x v="2"/>
    <x v="1"/>
  </r>
  <r>
    <s v="TX500289"/>
    <x v="0"/>
    <x v="16"/>
    <n v="15.6"/>
    <n v="280.8"/>
    <x v="12"/>
    <d v="2025-01-14T00:00:00"/>
    <x v="1"/>
    <x v="1"/>
    <x v="3"/>
    <x v="0"/>
    <x v="8"/>
    <x v="3"/>
    <x v="2"/>
    <x v="1"/>
  </r>
  <r>
    <s v="TX500290"/>
    <x v="10"/>
    <x v="12"/>
    <n v="37.799999999999997"/>
    <n v="151.19999999999999"/>
    <x v="12"/>
    <d v="2025-01-14T00:00:00"/>
    <x v="1"/>
    <x v="2"/>
    <x v="2"/>
    <x v="0"/>
    <x v="8"/>
    <x v="3"/>
    <x v="2"/>
    <x v="1"/>
  </r>
  <r>
    <s v="TX500291"/>
    <x v="4"/>
    <x v="2"/>
    <n v="28.1"/>
    <n v="84.300000000000011"/>
    <x v="12"/>
    <d v="2025-01-17T00:00:00"/>
    <x v="1"/>
    <x v="0"/>
    <x v="0"/>
    <x v="0"/>
    <x v="8"/>
    <x v="5"/>
    <x v="2"/>
    <x v="1"/>
  </r>
  <r>
    <s v="TX500292"/>
    <x v="7"/>
    <x v="13"/>
    <n v="51.4"/>
    <n v="308.39999999999998"/>
    <x v="12"/>
    <d v="2025-01-17T00:00:00"/>
    <x v="1"/>
    <x v="0"/>
    <x v="0"/>
    <x v="0"/>
    <x v="8"/>
    <x v="5"/>
    <x v="2"/>
    <x v="1"/>
  </r>
  <r>
    <s v="TX500293"/>
    <x v="7"/>
    <x v="1"/>
    <n v="97.7"/>
    <n v="195.4"/>
    <x v="12"/>
    <d v="2025-01-15T00:00:00"/>
    <x v="2"/>
    <x v="4"/>
    <x v="2"/>
    <x v="0"/>
    <x v="17"/>
    <x v="1"/>
    <x v="2"/>
    <x v="2"/>
  </r>
  <r>
    <s v="TX500294"/>
    <x v="1"/>
    <x v="12"/>
    <n v="63.8"/>
    <n v="255.2"/>
    <x v="12"/>
    <d v="2025-01-14T00:00:00"/>
    <x v="1"/>
    <x v="2"/>
    <x v="0"/>
    <x v="0"/>
    <x v="38"/>
    <x v="3"/>
    <x v="2"/>
    <x v="1"/>
  </r>
  <r>
    <s v="TX500295"/>
    <x v="13"/>
    <x v="1"/>
    <n v="20.100000000000001"/>
    <n v="40.200000000000003"/>
    <x v="12"/>
    <d v="2025-01-15T00:00:00"/>
    <x v="1"/>
    <x v="0"/>
    <x v="2"/>
    <x v="0"/>
    <x v="20"/>
    <x v="1"/>
    <x v="2"/>
    <x v="1"/>
  </r>
  <r>
    <s v="TX500296"/>
    <x v="11"/>
    <x v="2"/>
    <n v="50.4"/>
    <n v="151.19999999999999"/>
    <x v="12"/>
    <d v="2025-01-16T00:00:00"/>
    <x v="2"/>
    <x v="3"/>
    <x v="0"/>
    <x v="0"/>
    <x v="13"/>
    <x v="2"/>
    <x v="2"/>
    <x v="2"/>
  </r>
  <r>
    <s v="TX500297"/>
    <x v="0"/>
    <x v="0"/>
    <n v="16.2"/>
    <n v="16.2"/>
    <x v="12"/>
    <d v="2025-01-26T00:00:00"/>
    <x v="2"/>
    <x v="1"/>
    <x v="0"/>
    <x v="0"/>
    <x v="1"/>
    <x v="10"/>
    <x v="2"/>
    <x v="2"/>
  </r>
  <r>
    <s v="TX500298"/>
    <x v="6"/>
    <x v="3"/>
    <n v="80.900000000000006"/>
    <n v="566.30000000000007"/>
    <x v="12"/>
    <d v="2025-01-15T00:00:00"/>
    <x v="1"/>
    <x v="4"/>
    <x v="4"/>
    <x v="0"/>
    <x v="2"/>
    <x v="1"/>
    <x v="2"/>
    <x v="1"/>
  </r>
  <r>
    <s v="TX500299"/>
    <x v="9"/>
    <x v="13"/>
    <n v="95.2"/>
    <n v="571.20000000000005"/>
    <x v="12"/>
    <d v="2025-01-15T00:00:00"/>
    <x v="2"/>
    <x v="0"/>
    <x v="2"/>
    <x v="0"/>
    <x v="2"/>
    <x v="1"/>
    <x v="2"/>
    <x v="2"/>
  </r>
  <r>
    <s v="TX500300"/>
    <x v="5"/>
    <x v="8"/>
    <n v="70.400000000000006"/>
    <n v="563.20000000000005"/>
    <x v="12"/>
    <d v="2025-01-14T00:00:00"/>
    <x v="1"/>
    <x v="1"/>
    <x v="1"/>
    <x v="0"/>
    <x v="3"/>
    <x v="3"/>
    <x v="2"/>
    <x v="1"/>
  </r>
  <r>
    <s v="TX500301"/>
    <x v="0"/>
    <x v="9"/>
    <n v="10.7"/>
    <n v="53.5"/>
    <x v="12"/>
    <d v="2025-01-17T00:00:00"/>
    <x v="2"/>
    <x v="2"/>
    <x v="0"/>
    <x v="0"/>
    <x v="3"/>
    <x v="5"/>
    <x v="2"/>
    <x v="2"/>
  </r>
  <r>
    <s v="TX500302"/>
    <x v="8"/>
    <x v="9"/>
    <n v="19.600000000000001"/>
    <n v="98"/>
    <x v="12"/>
    <d v="2025-01-15T00:00:00"/>
    <x v="2"/>
    <x v="0"/>
    <x v="3"/>
    <x v="0"/>
    <x v="3"/>
    <x v="1"/>
    <x v="2"/>
    <x v="2"/>
  </r>
  <r>
    <s v="TX500303"/>
    <x v="8"/>
    <x v="5"/>
    <n v="34.700000000000003"/>
    <n v="381.70000000000005"/>
    <x v="12"/>
    <d v="2025-01-15T00:00:00"/>
    <x v="2"/>
    <x v="0"/>
    <x v="2"/>
    <x v="0"/>
    <x v="3"/>
    <x v="1"/>
    <x v="2"/>
    <x v="2"/>
  </r>
  <r>
    <s v="TX500304"/>
    <x v="10"/>
    <x v="11"/>
    <n v="34.1"/>
    <n v="306.90000000000003"/>
    <x v="12"/>
    <d v="2025-01-14T00:00:00"/>
    <x v="2"/>
    <x v="4"/>
    <x v="1"/>
    <x v="0"/>
    <x v="3"/>
    <x v="3"/>
    <x v="2"/>
    <x v="2"/>
  </r>
  <r>
    <s v="TX500305"/>
    <x v="0"/>
    <x v="26"/>
    <n v="29.3"/>
    <n v="1435.7"/>
    <x v="12"/>
    <d v="2025-01-13T00:00:00"/>
    <x v="1"/>
    <x v="0"/>
    <x v="1"/>
    <x v="0"/>
    <x v="3"/>
    <x v="7"/>
    <x v="2"/>
    <x v="1"/>
  </r>
  <r>
    <s v="TX500306"/>
    <x v="1"/>
    <x v="0"/>
    <n v="55.2"/>
    <n v="55.2"/>
    <x v="12"/>
    <d v="2025-01-14T00:00:00"/>
    <x v="2"/>
    <x v="0"/>
    <x v="1"/>
    <x v="0"/>
    <x v="3"/>
    <x v="3"/>
    <x v="2"/>
    <x v="2"/>
  </r>
  <r>
    <s v="TX500307"/>
    <x v="18"/>
    <x v="2"/>
    <n v="26"/>
    <n v="78"/>
    <x v="12"/>
    <d v="2025-01-16T00:00:00"/>
    <x v="2"/>
    <x v="0"/>
    <x v="2"/>
    <x v="0"/>
    <x v="3"/>
    <x v="2"/>
    <x v="2"/>
    <x v="2"/>
  </r>
  <r>
    <s v="TX500308"/>
    <x v="14"/>
    <x v="1"/>
    <n v="14.2"/>
    <n v="28.4"/>
    <x v="12"/>
    <d v="2025-01-18T00:00:00"/>
    <x v="2"/>
    <x v="3"/>
    <x v="0"/>
    <x v="0"/>
    <x v="39"/>
    <x v="0"/>
    <x v="2"/>
    <x v="2"/>
  </r>
  <r>
    <s v="TX500309"/>
    <x v="8"/>
    <x v="11"/>
    <n v="22.7"/>
    <n v="204.29999999999998"/>
    <x v="13"/>
    <d v="2025-01-15T00:00:00"/>
    <x v="1"/>
    <x v="1"/>
    <x v="0"/>
    <x v="0"/>
    <x v="6"/>
    <x v="3"/>
    <x v="2"/>
    <x v="1"/>
  </r>
  <r>
    <s v="TX500310"/>
    <x v="0"/>
    <x v="20"/>
    <n v="19.8"/>
    <n v="297"/>
    <x v="13"/>
    <d v="2025-01-14T00:00:00"/>
    <x v="2"/>
    <x v="0"/>
    <x v="2"/>
    <x v="0"/>
    <x v="6"/>
    <x v="7"/>
    <x v="2"/>
    <x v="2"/>
  </r>
  <r>
    <s v="TX500311"/>
    <x v="0"/>
    <x v="2"/>
    <n v="31.7"/>
    <n v="95.1"/>
    <x v="13"/>
    <d v="2025-01-15T00:00:00"/>
    <x v="1"/>
    <x v="2"/>
    <x v="0"/>
    <x v="0"/>
    <x v="6"/>
    <x v="3"/>
    <x v="2"/>
    <x v="1"/>
  </r>
  <r>
    <s v="TX500312"/>
    <x v="8"/>
    <x v="12"/>
    <n v="30.4"/>
    <n v="121.6"/>
    <x v="13"/>
    <d v="2025-01-18T00:00:00"/>
    <x v="1"/>
    <x v="0"/>
    <x v="0"/>
    <x v="0"/>
    <x v="6"/>
    <x v="5"/>
    <x v="2"/>
    <x v="1"/>
  </r>
  <r>
    <s v="TX500313"/>
    <x v="0"/>
    <x v="12"/>
    <n v="25.6"/>
    <n v="102.4"/>
    <x v="13"/>
    <d v="2025-01-15T00:00:00"/>
    <x v="1"/>
    <x v="3"/>
    <x v="0"/>
    <x v="0"/>
    <x v="8"/>
    <x v="3"/>
    <x v="2"/>
    <x v="1"/>
  </r>
  <r>
    <s v="TX500314"/>
    <x v="5"/>
    <x v="1"/>
    <n v="34.9"/>
    <n v="69.8"/>
    <x v="13"/>
    <d v="2025-01-15T00:00:00"/>
    <x v="2"/>
    <x v="2"/>
    <x v="0"/>
    <x v="0"/>
    <x v="9"/>
    <x v="3"/>
    <x v="2"/>
    <x v="2"/>
  </r>
  <r>
    <s v="TX500315"/>
    <x v="7"/>
    <x v="13"/>
    <n v="42.7"/>
    <n v="256.20000000000005"/>
    <x v="13"/>
    <d v="2025-01-17T00:00:00"/>
    <x v="1"/>
    <x v="2"/>
    <x v="1"/>
    <x v="0"/>
    <x v="11"/>
    <x v="2"/>
    <x v="2"/>
    <x v="1"/>
  </r>
  <r>
    <s v="TX500316"/>
    <x v="8"/>
    <x v="0"/>
    <n v="23.9"/>
    <n v="23.9"/>
    <x v="13"/>
    <d v="2025-01-16T00:00:00"/>
    <x v="2"/>
    <x v="3"/>
    <x v="0"/>
    <x v="0"/>
    <x v="11"/>
    <x v="1"/>
    <x v="2"/>
    <x v="2"/>
  </r>
  <r>
    <s v="TX500317"/>
    <x v="6"/>
    <x v="0"/>
    <n v="124.3"/>
    <n v="124.3"/>
    <x v="13"/>
    <d v="2025-01-15T00:00:00"/>
    <x v="0"/>
    <x v="2"/>
    <x v="1"/>
    <x v="0"/>
    <x v="21"/>
    <x v="3"/>
    <x v="2"/>
    <x v="0"/>
  </r>
  <r>
    <s v="TX500318"/>
    <x v="8"/>
    <x v="13"/>
    <n v="35.9"/>
    <n v="215.39999999999998"/>
    <x v="13"/>
    <d v="2025-01-15T00:00:00"/>
    <x v="2"/>
    <x v="0"/>
    <x v="1"/>
    <x v="0"/>
    <x v="1"/>
    <x v="3"/>
    <x v="2"/>
    <x v="2"/>
  </r>
  <r>
    <s v="TX500319"/>
    <x v="2"/>
    <x v="1"/>
    <n v="69.099999999999994"/>
    <n v="138.19999999999999"/>
    <x v="13"/>
    <d v="2025-01-17T00:00:00"/>
    <x v="2"/>
    <x v="0"/>
    <x v="2"/>
    <x v="0"/>
    <x v="22"/>
    <x v="2"/>
    <x v="2"/>
    <x v="2"/>
  </r>
  <r>
    <s v="TX500320"/>
    <x v="7"/>
    <x v="0"/>
    <n v="58.4"/>
    <n v="58.4"/>
    <x v="13"/>
    <d v="2025-01-18T00:00:00"/>
    <x v="1"/>
    <x v="0"/>
    <x v="0"/>
    <x v="0"/>
    <x v="22"/>
    <x v="5"/>
    <x v="2"/>
    <x v="1"/>
  </r>
  <r>
    <s v="TX500321"/>
    <x v="5"/>
    <x v="0"/>
    <n v="65.2"/>
    <n v="65.2"/>
    <x v="13"/>
    <d v="2025-01-16T00:00:00"/>
    <x v="3"/>
    <x v="4"/>
    <x v="4"/>
    <x v="0"/>
    <x v="3"/>
    <x v="1"/>
    <x v="2"/>
    <x v="3"/>
  </r>
  <r>
    <s v="TX500322"/>
    <x v="8"/>
    <x v="14"/>
    <n v="32.700000000000003"/>
    <n v="555.90000000000009"/>
    <x v="13"/>
    <d v="2025-01-21T00:00:00"/>
    <x v="0"/>
    <x v="4"/>
    <x v="0"/>
    <x v="0"/>
    <x v="3"/>
    <x v="6"/>
    <x v="2"/>
    <x v="0"/>
  </r>
  <r>
    <s v="TX500323"/>
    <x v="10"/>
    <x v="3"/>
    <n v="24.4"/>
    <n v="170.79999999999998"/>
    <x v="13"/>
    <d v="2025-01-15T00:00:00"/>
    <x v="2"/>
    <x v="0"/>
    <x v="0"/>
    <x v="0"/>
    <x v="3"/>
    <x v="3"/>
    <x v="2"/>
    <x v="2"/>
  </r>
  <r>
    <s v="TX500324"/>
    <x v="14"/>
    <x v="1"/>
    <n v="50.4"/>
    <n v="100.8"/>
    <x v="13"/>
    <d v="2025-01-20T00:00:00"/>
    <x v="1"/>
    <x v="0"/>
    <x v="1"/>
    <x v="0"/>
    <x v="3"/>
    <x v="4"/>
    <x v="2"/>
    <x v="1"/>
  </r>
  <r>
    <s v="TX500325"/>
    <x v="1"/>
    <x v="1"/>
    <n v="100"/>
    <n v="200"/>
    <x v="13"/>
    <d v="2025-01-15T00:00:00"/>
    <x v="2"/>
    <x v="0"/>
    <x v="0"/>
    <x v="0"/>
    <x v="3"/>
    <x v="3"/>
    <x v="2"/>
    <x v="2"/>
  </r>
  <r>
    <s v="TX500326"/>
    <x v="10"/>
    <x v="2"/>
    <n v="43"/>
    <n v="129"/>
    <x v="14"/>
    <d v="2025-01-15T00:00:00"/>
    <x v="2"/>
    <x v="2"/>
    <x v="1"/>
    <x v="0"/>
    <x v="3"/>
    <x v="7"/>
    <x v="2"/>
    <x v="2"/>
  </r>
  <r>
    <s v="TX500327"/>
    <x v="1"/>
    <x v="9"/>
    <n v="64.400000000000006"/>
    <n v="322"/>
    <x v="14"/>
    <d v="2025-01-17T00:00:00"/>
    <x v="1"/>
    <x v="2"/>
    <x v="1"/>
    <x v="0"/>
    <x v="3"/>
    <x v="1"/>
    <x v="2"/>
    <x v="1"/>
  </r>
  <r>
    <s v="TX500328"/>
    <x v="18"/>
    <x v="1"/>
    <n v="57.4"/>
    <n v="114.8"/>
    <x v="14"/>
    <d v="2025-01-16T00:00:00"/>
    <x v="1"/>
    <x v="2"/>
    <x v="1"/>
    <x v="0"/>
    <x v="3"/>
    <x v="3"/>
    <x v="2"/>
    <x v="1"/>
  </r>
  <r>
    <s v="TX500329"/>
    <x v="2"/>
    <x v="2"/>
    <n v="55.1"/>
    <n v="165.3"/>
    <x v="14"/>
    <d v="2025-01-18T00:00:00"/>
    <x v="2"/>
    <x v="1"/>
    <x v="0"/>
    <x v="0"/>
    <x v="3"/>
    <x v="2"/>
    <x v="2"/>
    <x v="2"/>
  </r>
  <r>
    <s v="TX500330"/>
    <x v="7"/>
    <x v="12"/>
    <n v="45.4"/>
    <n v="181.6"/>
    <x v="14"/>
    <d v="2025-01-16T00:00:00"/>
    <x v="2"/>
    <x v="1"/>
    <x v="0"/>
    <x v="0"/>
    <x v="3"/>
    <x v="3"/>
    <x v="2"/>
    <x v="2"/>
  </r>
  <r>
    <s v="TX500331"/>
    <x v="3"/>
    <x v="2"/>
    <n v="93.3"/>
    <n v="279.89999999999998"/>
    <x v="14"/>
    <d v="2025-01-16T00:00:00"/>
    <x v="2"/>
    <x v="0"/>
    <x v="0"/>
    <x v="0"/>
    <x v="40"/>
    <x v="3"/>
    <x v="2"/>
    <x v="2"/>
  </r>
  <r>
    <s v="TX500332"/>
    <x v="2"/>
    <x v="10"/>
    <n v="158.19999999999999"/>
    <n v="3005.7999999999997"/>
    <x v="14"/>
    <d v="2025-01-16T00:00:00"/>
    <x v="2"/>
    <x v="1"/>
    <x v="2"/>
    <x v="0"/>
    <x v="16"/>
    <x v="3"/>
    <x v="2"/>
    <x v="2"/>
  </r>
  <r>
    <s v="TX500333"/>
    <x v="2"/>
    <x v="1"/>
    <n v="74.900000000000006"/>
    <n v="149.80000000000001"/>
    <x v="14"/>
    <d v="2025-01-17T00:00:00"/>
    <x v="1"/>
    <x v="3"/>
    <x v="0"/>
    <x v="0"/>
    <x v="6"/>
    <x v="1"/>
    <x v="2"/>
    <x v="1"/>
  </r>
  <r>
    <s v="TX500334"/>
    <x v="8"/>
    <x v="3"/>
    <n v="26"/>
    <n v="182"/>
    <x v="14"/>
    <d v="2025-01-18T00:00:00"/>
    <x v="2"/>
    <x v="1"/>
    <x v="0"/>
    <x v="0"/>
    <x v="8"/>
    <x v="2"/>
    <x v="2"/>
    <x v="2"/>
  </r>
  <r>
    <s v="TX500335"/>
    <x v="9"/>
    <x v="13"/>
    <n v="37.5"/>
    <n v="225"/>
    <x v="14"/>
    <d v="2025-01-16T00:00:00"/>
    <x v="2"/>
    <x v="0"/>
    <x v="1"/>
    <x v="0"/>
    <x v="8"/>
    <x v="3"/>
    <x v="2"/>
    <x v="2"/>
  </r>
  <r>
    <s v="TX500336"/>
    <x v="6"/>
    <x v="1"/>
    <n v="75.8"/>
    <n v="151.6"/>
    <x v="14"/>
    <d v="2025-01-21T00:00:00"/>
    <x v="1"/>
    <x v="0"/>
    <x v="0"/>
    <x v="0"/>
    <x v="8"/>
    <x v="4"/>
    <x v="2"/>
    <x v="1"/>
  </r>
  <r>
    <s v="TX500337"/>
    <x v="7"/>
    <x v="0"/>
    <n v="48.5"/>
    <n v="48.5"/>
    <x v="14"/>
    <d v="2025-01-27T00:00:00"/>
    <x v="0"/>
    <x v="4"/>
    <x v="2"/>
    <x v="0"/>
    <x v="8"/>
    <x v="13"/>
    <x v="2"/>
    <x v="0"/>
  </r>
  <r>
    <s v="TX500338"/>
    <x v="6"/>
    <x v="2"/>
    <n v="98.9"/>
    <n v="296.70000000000005"/>
    <x v="14"/>
    <d v="2025-01-17T00:00:00"/>
    <x v="2"/>
    <x v="4"/>
    <x v="1"/>
    <x v="0"/>
    <x v="8"/>
    <x v="1"/>
    <x v="2"/>
    <x v="2"/>
  </r>
  <r>
    <s v="TX500339"/>
    <x v="1"/>
    <x v="4"/>
    <n v="50.9"/>
    <n v="610.79999999999995"/>
    <x v="14"/>
    <d v="2025-01-15T00:00:00"/>
    <x v="1"/>
    <x v="4"/>
    <x v="0"/>
    <x v="0"/>
    <x v="8"/>
    <x v="7"/>
    <x v="2"/>
    <x v="1"/>
  </r>
  <r>
    <s v="TX500340"/>
    <x v="12"/>
    <x v="13"/>
    <n v="84.7"/>
    <n v="508.20000000000005"/>
    <x v="14"/>
    <d v="2025-01-15T00:00:00"/>
    <x v="2"/>
    <x v="2"/>
    <x v="0"/>
    <x v="0"/>
    <x v="8"/>
    <x v="7"/>
    <x v="2"/>
    <x v="2"/>
  </r>
  <r>
    <s v="TX500341"/>
    <x v="8"/>
    <x v="0"/>
    <n v="20.7"/>
    <n v="20.7"/>
    <x v="14"/>
    <d v="2025-01-17T00:00:00"/>
    <x v="2"/>
    <x v="3"/>
    <x v="2"/>
    <x v="0"/>
    <x v="8"/>
    <x v="1"/>
    <x v="2"/>
    <x v="2"/>
  </r>
  <r>
    <s v="TX500342"/>
    <x v="12"/>
    <x v="11"/>
    <n v="57.8"/>
    <n v="520.19999999999993"/>
    <x v="14"/>
    <d v="2025-01-26T00:00:00"/>
    <x v="1"/>
    <x v="0"/>
    <x v="4"/>
    <x v="0"/>
    <x v="17"/>
    <x v="11"/>
    <x v="2"/>
    <x v="1"/>
  </r>
  <r>
    <s v="TX500343"/>
    <x v="2"/>
    <x v="1"/>
    <n v="106.9"/>
    <n v="213.8"/>
    <x v="14"/>
    <d v="2025-01-17T00:00:00"/>
    <x v="2"/>
    <x v="0"/>
    <x v="2"/>
    <x v="0"/>
    <x v="41"/>
    <x v="1"/>
    <x v="2"/>
    <x v="2"/>
  </r>
  <r>
    <s v="TX500344"/>
    <x v="3"/>
    <x v="9"/>
    <n v="45.2"/>
    <n v="226"/>
    <x v="14"/>
    <d v="2025-01-19T00:00:00"/>
    <x v="2"/>
    <x v="1"/>
    <x v="0"/>
    <x v="0"/>
    <x v="21"/>
    <x v="5"/>
    <x v="2"/>
    <x v="2"/>
  </r>
  <r>
    <s v="TX500345"/>
    <x v="8"/>
    <x v="15"/>
    <n v="34.6"/>
    <n v="449.8"/>
    <x v="14"/>
    <d v="2025-01-15T00:00:00"/>
    <x v="2"/>
    <x v="1"/>
    <x v="1"/>
    <x v="0"/>
    <x v="21"/>
    <x v="7"/>
    <x v="2"/>
    <x v="2"/>
  </r>
  <r>
    <s v="TX500346"/>
    <x v="15"/>
    <x v="0"/>
    <n v="43.8"/>
    <n v="43.8"/>
    <x v="14"/>
    <d v="2025-01-17T00:00:00"/>
    <x v="0"/>
    <x v="0"/>
    <x v="2"/>
    <x v="0"/>
    <x v="21"/>
    <x v="1"/>
    <x v="2"/>
    <x v="0"/>
  </r>
  <r>
    <s v="TX500347"/>
    <x v="15"/>
    <x v="0"/>
    <n v="20.399999999999999"/>
    <n v="20.399999999999999"/>
    <x v="14"/>
    <d v="2025-01-17T00:00:00"/>
    <x v="1"/>
    <x v="4"/>
    <x v="1"/>
    <x v="0"/>
    <x v="21"/>
    <x v="1"/>
    <x v="2"/>
    <x v="1"/>
  </r>
  <r>
    <s v="TX500348"/>
    <x v="1"/>
    <x v="0"/>
    <n v="36.700000000000003"/>
    <n v="36.700000000000003"/>
    <x v="14"/>
    <d v="2025-01-16T00:00:00"/>
    <x v="1"/>
    <x v="0"/>
    <x v="1"/>
    <x v="0"/>
    <x v="1"/>
    <x v="3"/>
    <x v="2"/>
    <x v="1"/>
  </r>
  <r>
    <s v="TX500349"/>
    <x v="8"/>
    <x v="2"/>
    <n v="27.2"/>
    <n v="81.599999999999994"/>
    <x v="14"/>
    <d v="2025-01-19T00:00:00"/>
    <x v="1"/>
    <x v="0"/>
    <x v="2"/>
    <x v="0"/>
    <x v="1"/>
    <x v="5"/>
    <x v="2"/>
    <x v="1"/>
  </r>
  <r>
    <s v="TX500350"/>
    <x v="6"/>
    <x v="0"/>
    <n v="58.2"/>
    <n v="58.2"/>
    <x v="14"/>
    <d v="2025-01-16T00:00:00"/>
    <x v="2"/>
    <x v="0"/>
    <x v="2"/>
    <x v="0"/>
    <x v="42"/>
    <x v="3"/>
    <x v="2"/>
    <x v="2"/>
  </r>
  <r>
    <s v="TX500351"/>
    <x v="8"/>
    <x v="2"/>
    <n v="25.6"/>
    <n v="76.800000000000011"/>
    <x v="14"/>
    <d v="2025-01-16T00:00:00"/>
    <x v="1"/>
    <x v="4"/>
    <x v="4"/>
    <x v="0"/>
    <x v="2"/>
    <x v="3"/>
    <x v="2"/>
    <x v="1"/>
  </r>
  <r>
    <s v="TX500352"/>
    <x v="10"/>
    <x v="0"/>
    <n v="21.2"/>
    <n v="21.2"/>
    <x v="14"/>
    <d v="2025-01-15T00:00:00"/>
    <x v="2"/>
    <x v="1"/>
    <x v="2"/>
    <x v="0"/>
    <x v="3"/>
    <x v="7"/>
    <x v="2"/>
    <x v="2"/>
  </r>
  <r>
    <s v="TX500353"/>
    <x v="6"/>
    <x v="1"/>
    <n v="48.2"/>
    <n v="96.4"/>
    <x v="14"/>
    <d v="2025-01-23T00:00:00"/>
    <x v="2"/>
    <x v="0"/>
    <x v="2"/>
    <x v="0"/>
    <x v="3"/>
    <x v="9"/>
    <x v="2"/>
    <x v="2"/>
  </r>
  <r>
    <s v="TX500354"/>
    <x v="1"/>
    <x v="12"/>
    <n v="83.4"/>
    <n v="333.6"/>
    <x v="15"/>
    <d v="2025-01-17T00:00:00"/>
    <x v="1"/>
    <x v="0"/>
    <x v="0"/>
    <x v="0"/>
    <x v="3"/>
    <x v="3"/>
    <x v="2"/>
    <x v="1"/>
  </r>
  <r>
    <s v="TX500355"/>
    <x v="9"/>
    <x v="2"/>
    <n v="45.3"/>
    <n v="135.89999999999998"/>
    <x v="15"/>
    <d v="2025-01-22T00:00:00"/>
    <x v="1"/>
    <x v="2"/>
    <x v="1"/>
    <x v="0"/>
    <x v="3"/>
    <x v="4"/>
    <x v="2"/>
    <x v="1"/>
  </r>
  <r>
    <s v="TX500356"/>
    <x v="17"/>
    <x v="0"/>
    <n v="42"/>
    <n v="42"/>
    <x v="15"/>
    <d v="2025-01-17T00:00:00"/>
    <x v="0"/>
    <x v="0"/>
    <x v="0"/>
    <x v="0"/>
    <x v="3"/>
    <x v="3"/>
    <x v="2"/>
    <x v="0"/>
  </r>
  <r>
    <s v="TX500357"/>
    <x v="0"/>
    <x v="11"/>
    <n v="21.8"/>
    <n v="196.20000000000002"/>
    <x v="15"/>
    <d v="2025-01-18T00:00:00"/>
    <x v="2"/>
    <x v="1"/>
    <x v="0"/>
    <x v="0"/>
    <x v="3"/>
    <x v="1"/>
    <x v="2"/>
    <x v="2"/>
  </r>
  <r>
    <s v="TX500358"/>
    <x v="8"/>
    <x v="16"/>
    <n v="21.4"/>
    <n v="385.2"/>
    <x v="15"/>
    <d v="2025-01-19T00:00:00"/>
    <x v="2"/>
    <x v="1"/>
    <x v="2"/>
    <x v="0"/>
    <x v="3"/>
    <x v="2"/>
    <x v="2"/>
    <x v="2"/>
  </r>
  <r>
    <s v="TX500359"/>
    <x v="10"/>
    <x v="2"/>
    <n v="45"/>
    <n v="135"/>
    <x v="15"/>
    <d v="2025-01-16T00:00:00"/>
    <x v="2"/>
    <x v="1"/>
    <x v="2"/>
    <x v="0"/>
    <x v="3"/>
    <x v="7"/>
    <x v="2"/>
    <x v="2"/>
  </r>
  <r>
    <s v="TX500360"/>
    <x v="14"/>
    <x v="0"/>
    <n v="39.6"/>
    <n v="39.6"/>
    <x v="15"/>
    <d v="2025-01-17T00:00:00"/>
    <x v="1"/>
    <x v="0"/>
    <x v="2"/>
    <x v="0"/>
    <x v="3"/>
    <x v="3"/>
    <x v="2"/>
    <x v="1"/>
  </r>
  <r>
    <s v="TX500361"/>
    <x v="12"/>
    <x v="2"/>
    <n v="79.8"/>
    <n v="239.39999999999998"/>
    <x v="15"/>
    <d v="2025-01-22T00:00:00"/>
    <x v="2"/>
    <x v="1"/>
    <x v="4"/>
    <x v="0"/>
    <x v="3"/>
    <x v="4"/>
    <x v="2"/>
    <x v="2"/>
  </r>
  <r>
    <s v="TX500362"/>
    <x v="1"/>
    <x v="12"/>
    <n v="63.6"/>
    <n v="254.4"/>
    <x v="15"/>
    <d v="2025-01-17T00:00:00"/>
    <x v="3"/>
    <x v="0"/>
    <x v="2"/>
    <x v="0"/>
    <x v="24"/>
    <x v="3"/>
    <x v="2"/>
    <x v="3"/>
  </r>
  <r>
    <s v="TX500363"/>
    <x v="7"/>
    <x v="7"/>
    <n v="92.7"/>
    <n v="927"/>
    <x v="15"/>
    <d v="2025-01-20T00:00:00"/>
    <x v="1"/>
    <x v="1"/>
    <x v="2"/>
    <x v="0"/>
    <x v="6"/>
    <x v="5"/>
    <x v="2"/>
    <x v="1"/>
  </r>
  <r>
    <s v="TX500364"/>
    <x v="1"/>
    <x v="12"/>
    <n v="48.4"/>
    <n v="193.6"/>
    <x v="15"/>
    <d v="2025-01-18T00:00:00"/>
    <x v="2"/>
    <x v="1"/>
    <x v="2"/>
    <x v="0"/>
    <x v="6"/>
    <x v="1"/>
    <x v="2"/>
    <x v="2"/>
  </r>
  <r>
    <s v="TX500365"/>
    <x v="9"/>
    <x v="8"/>
    <n v="36"/>
    <n v="288"/>
    <x v="15"/>
    <d v="2025-01-19T00:00:00"/>
    <x v="1"/>
    <x v="2"/>
    <x v="2"/>
    <x v="0"/>
    <x v="8"/>
    <x v="2"/>
    <x v="2"/>
    <x v="1"/>
  </r>
  <r>
    <s v="TX500366"/>
    <x v="8"/>
    <x v="4"/>
    <n v="27"/>
    <n v="324"/>
    <x v="15"/>
    <d v="2025-01-18T00:00:00"/>
    <x v="2"/>
    <x v="2"/>
    <x v="1"/>
    <x v="0"/>
    <x v="8"/>
    <x v="1"/>
    <x v="2"/>
    <x v="2"/>
  </r>
  <r>
    <s v="TX500367"/>
    <x v="2"/>
    <x v="8"/>
    <n v="53.9"/>
    <n v="431.2"/>
    <x v="15"/>
    <d v="2025-01-17T00:00:00"/>
    <x v="0"/>
    <x v="0"/>
    <x v="0"/>
    <x v="0"/>
    <x v="8"/>
    <x v="3"/>
    <x v="2"/>
    <x v="0"/>
  </r>
  <r>
    <s v="TX500368"/>
    <x v="3"/>
    <x v="11"/>
    <n v="48.4"/>
    <n v="435.59999999999997"/>
    <x v="15"/>
    <d v="2025-01-17T00:00:00"/>
    <x v="2"/>
    <x v="1"/>
    <x v="0"/>
    <x v="0"/>
    <x v="9"/>
    <x v="3"/>
    <x v="2"/>
    <x v="2"/>
  </r>
  <r>
    <s v="TX500369"/>
    <x v="17"/>
    <x v="1"/>
    <n v="49.9"/>
    <n v="99.8"/>
    <x v="15"/>
    <d v="2025-01-21T00:00:00"/>
    <x v="1"/>
    <x v="4"/>
    <x v="4"/>
    <x v="0"/>
    <x v="10"/>
    <x v="0"/>
    <x v="2"/>
    <x v="1"/>
  </r>
  <r>
    <s v="TX500370"/>
    <x v="1"/>
    <x v="2"/>
    <n v="51.7"/>
    <n v="155.10000000000002"/>
    <x v="15"/>
    <d v="2025-01-17T00:00:00"/>
    <x v="2"/>
    <x v="0"/>
    <x v="2"/>
    <x v="0"/>
    <x v="11"/>
    <x v="3"/>
    <x v="2"/>
    <x v="2"/>
  </r>
  <r>
    <s v="TX500371"/>
    <x v="8"/>
    <x v="2"/>
    <n v="41.8"/>
    <n v="125.39999999999999"/>
    <x v="15"/>
    <d v="2025-01-18T00:00:00"/>
    <x v="2"/>
    <x v="2"/>
    <x v="0"/>
    <x v="0"/>
    <x v="18"/>
    <x v="1"/>
    <x v="2"/>
    <x v="2"/>
  </r>
  <r>
    <s v="TX500372"/>
    <x v="4"/>
    <x v="12"/>
    <n v="36.200000000000003"/>
    <n v="144.80000000000001"/>
    <x v="16"/>
    <d v="2025-01-18T00:00:00"/>
    <x v="1"/>
    <x v="2"/>
    <x v="2"/>
    <x v="0"/>
    <x v="21"/>
    <x v="3"/>
    <x v="2"/>
    <x v="1"/>
  </r>
  <r>
    <s v="TX500373"/>
    <x v="2"/>
    <x v="0"/>
    <n v="150.9"/>
    <n v="150.9"/>
    <x v="16"/>
    <d v="2025-01-27T00:00:00"/>
    <x v="1"/>
    <x v="0"/>
    <x v="0"/>
    <x v="0"/>
    <x v="1"/>
    <x v="14"/>
    <x v="2"/>
    <x v="1"/>
  </r>
  <r>
    <s v="TX500374"/>
    <x v="18"/>
    <x v="12"/>
    <n v="77.599999999999994"/>
    <n v="310.39999999999998"/>
    <x v="16"/>
    <d v="2025-01-18T00:00:00"/>
    <x v="0"/>
    <x v="2"/>
    <x v="0"/>
    <x v="0"/>
    <x v="3"/>
    <x v="3"/>
    <x v="2"/>
    <x v="0"/>
  </r>
  <r>
    <s v="TX500375"/>
    <x v="13"/>
    <x v="9"/>
    <n v="65.5"/>
    <n v="327.5"/>
    <x v="16"/>
    <d v="2025-01-17T00:00:00"/>
    <x v="1"/>
    <x v="1"/>
    <x v="0"/>
    <x v="0"/>
    <x v="3"/>
    <x v="7"/>
    <x v="2"/>
    <x v="1"/>
  </r>
  <r>
    <s v="TX500376"/>
    <x v="6"/>
    <x v="2"/>
    <n v="90.1"/>
    <n v="270.29999999999995"/>
    <x v="16"/>
    <d v="2025-01-19T00:00:00"/>
    <x v="2"/>
    <x v="0"/>
    <x v="0"/>
    <x v="0"/>
    <x v="3"/>
    <x v="1"/>
    <x v="2"/>
    <x v="2"/>
  </r>
  <r>
    <s v="TX500377"/>
    <x v="1"/>
    <x v="1"/>
    <n v="108.3"/>
    <n v="216.6"/>
    <x v="16"/>
    <d v="2025-01-20T00:00:00"/>
    <x v="3"/>
    <x v="4"/>
    <x v="0"/>
    <x v="0"/>
    <x v="3"/>
    <x v="2"/>
    <x v="2"/>
    <x v="3"/>
  </r>
  <r>
    <s v="TX500378"/>
    <x v="5"/>
    <x v="2"/>
    <n v="59.9"/>
    <n v="179.7"/>
    <x v="16"/>
    <d v="2025-01-21T00:00:00"/>
    <x v="2"/>
    <x v="0"/>
    <x v="0"/>
    <x v="0"/>
    <x v="3"/>
    <x v="5"/>
    <x v="2"/>
    <x v="2"/>
  </r>
  <r>
    <s v="TX500379"/>
    <x v="2"/>
    <x v="14"/>
    <n v="139"/>
    <n v="2363"/>
    <x v="16"/>
    <d v="2025-01-19T00:00:00"/>
    <x v="2"/>
    <x v="1"/>
    <x v="4"/>
    <x v="0"/>
    <x v="3"/>
    <x v="1"/>
    <x v="2"/>
    <x v="2"/>
  </r>
  <r>
    <s v="TX500380"/>
    <x v="6"/>
    <x v="2"/>
    <n v="87.3"/>
    <n v="261.89999999999998"/>
    <x v="16"/>
    <d v="2025-01-18T00:00:00"/>
    <x v="2"/>
    <x v="0"/>
    <x v="0"/>
    <x v="0"/>
    <x v="3"/>
    <x v="3"/>
    <x v="2"/>
    <x v="2"/>
  </r>
  <r>
    <s v="TX500381"/>
    <x v="11"/>
    <x v="12"/>
    <n v="42.3"/>
    <n v="169.2"/>
    <x v="16"/>
    <d v="2025-01-17T00:00:00"/>
    <x v="1"/>
    <x v="0"/>
    <x v="0"/>
    <x v="0"/>
    <x v="3"/>
    <x v="7"/>
    <x v="2"/>
    <x v="1"/>
  </r>
  <r>
    <s v="TX500382"/>
    <x v="14"/>
    <x v="8"/>
    <n v="103.6"/>
    <n v="828.8"/>
    <x v="16"/>
    <d v="2025-01-18T00:00:00"/>
    <x v="3"/>
    <x v="0"/>
    <x v="1"/>
    <x v="0"/>
    <x v="3"/>
    <x v="3"/>
    <x v="2"/>
    <x v="3"/>
  </r>
  <r>
    <s v="TX500383"/>
    <x v="6"/>
    <x v="1"/>
    <n v="90.9"/>
    <n v="181.8"/>
    <x v="16"/>
    <d v="2025-01-18T00:00:00"/>
    <x v="1"/>
    <x v="1"/>
    <x v="0"/>
    <x v="0"/>
    <x v="6"/>
    <x v="3"/>
    <x v="2"/>
    <x v="1"/>
  </r>
  <r>
    <s v="TX500384"/>
    <x v="9"/>
    <x v="27"/>
    <n v="100.9"/>
    <n v="1614.4"/>
    <x v="16"/>
    <d v="2025-01-18T00:00:00"/>
    <x v="2"/>
    <x v="1"/>
    <x v="0"/>
    <x v="0"/>
    <x v="6"/>
    <x v="3"/>
    <x v="2"/>
    <x v="2"/>
  </r>
  <r>
    <s v="TX500385"/>
    <x v="4"/>
    <x v="9"/>
    <n v="36"/>
    <n v="180"/>
    <x v="16"/>
    <d v="2025-01-19T00:00:00"/>
    <x v="2"/>
    <x v="1"/>
    <x v="0"/>
    <x v="0"/>
    <x v="7"/>
    <x v="1"/>
    <x v="2"/>
    <x v="2"/>
  </r>
  <r>
    <s v="TX500386"/>
    <x v="6"/>
    <x v="13"/>
    <n v="83.3"/>
    <n v="499.79999999999995"/>
    <x v="16"/>
    <d v="2025-01-20T00:00:00"/>
    <x v="0"/>
    <x v="2"/>
    <x v="0"/>
    <x v="0"/>
    <x v="7"/>
    <x v="2"/>
    <x v="2"/>
    <x v="0"/>
  </r>
  <r>
    <s v="TX500387"/>
    <x v="2"/>
    <x v="14"/>
    <n v="60.3"/>
    <n v="1025.0999999999999"/>
    <x v="16"/>
    <d v="2025-01-18T00:00:00"/>
    <x v="1"/>
    <x v="2"/>
    <x v="1"/>
    <x v="0"/>
    <x v="7"/>
    <x v="3"/>
    <x v="2"/>
    <x v="1"/>
  </r>
  <r>
    <s v="TX500388"/>
    <x v="2"/>
    <x v="13"/>
    <n v="120.3"/>
    <n v="721.8"/>
    <x v="16"/>
    <d v="2025-01-18T00:00:00"/>
    <x v="1"/>
    <x v="2"/>
    <x v="0"/>
    <x v="0"/>
    <x v="8"/>
    <x v="3"/>
    <x v="2"/>
    <x v="1"/>
  </r>
  <r>
    <s v="TX500389"/>
    <x v="4"/>
    <x v="7"/>
    <n v="34"/>
    <n v="340"/>
    <x v="16"/>
    <d v="2025-01-21T00:00:00"/>
    <x v="2"/>
    <x v="2"/>
    <x v="0"/>
    <x v="0"/>
    <x v="8"/>
    <x v="5"/>
    <x v="2"/>
    <x v="2"/>
  </r>
  <r>
    <s v="TX500390"/>
    <x v="10"/>
    <x v="9"/>
    <n v="42.6"/>
    <n v="213"/>
    <x v="16"/>
    <d v="2025-01-20T00:00:00"/>
    <x v="1"/>
    <x v="1"/>
    <x v="0"/>
    <x v="0"/>
    <x v="8"/>
    <x v="2"/>
    <x v="2"/>
    <x v="1"/>
  </r>
  <r>
    <s v="TX500391"/>
    <x v="5"/>
    <x v="28"/>
    <n v="47.4"/>
    <n v="948"/>
    <x v="16"/>
    <d v="2025-01-17T00:00:00"/>
    <x v="2"/>
    <x v="2"/>
    <x v="1"/>
    <x v="0"/>
    <x v="17"/>
    <x v="7"/>
    <x v="2"/>
    <x v="2"/>
  </r>
  <r>
    <s v="TX500392"/>
    <x v="2"/>
    <x v="0"/>
    <n v="74"/>
    <n v="74"/>
    <x v="17"/>
    <d v="2025-01-19T00:00:00"/>
    <x v="1"/>
    <x v="1"/>
    <x v="0"/>
    <x v="0"/>
    <x v="11"/>
    <x v="3"/>
    <x v="2"/>
    <x v="1"/>
  </r>
  <r>
    <s v="TX500393"/>
    <x v="2"/>
    <x v="9"/>
    <n v="60.4"/>
    <n v="302"/>
    <x v="17"/>
    <d v="2025-01-21T00:00:00"/>
    <x v="2"/>
    <x v="1"/>
    <x v="4"/>
    <x v="0"/>
    <x v="18"/>
    <x v="2"/>
    <x v="2"/>
    <x v="2"/>
  </r>
  <r>
    <s v="TX500394"/>
    <x v="12"/>
    <x v="1"/>
    <n v="69.3"/>
    <n v="138.6"/>
    <x v="17"/>
    <d v="2025-01-21T00:00:00"/>
    <x v="1"/>
    <x v="1"/>
    <x v="1"/>
    <x v="0"/>
    <x v="13"/>
    <x v="2"/>
    <x v="2"/>
    <x v="1"/>
  </r>
  <r>
    <s v="TX500395"/>
    <x v="5"/>
    <x v="9"/>
    <n v="81"/>
    <n v="405"/>
    <x v="17"/>
    <d v="2025-01-24T00:00:00"/>
    <x v="1"/>
    <x v="3"/>
    <x v="0"/>
    <x v="0"/>
    <x v="21"/>
    <x v="4"/>
    <x v="2"/>
    <x v="1"/>
  </r>
  <r>
    <s v="TX500396"/>
    <x v="15"/>
    <x v="2"/>
    <n v="41.5"/>
    <n v="124.5"/>
    <x v="17"/>
    <d v="2025-01-20T00:00:00"/>
    <x v="3"/>
    <x v="1"/>
    <x v="0"/>
    <x v="0"/>
    <x v="21"/>
    <x v="1"/>
    <x v="2"/>
    <x v="3"/>
  </r>
  <r>
    <s v="TX500397"/>
    <x v="18"/>
    <x v="1"/>
    <n v="69.7"/>
    <n v="139.4"/>
    <x v="17"/>
    <d v="2025-01-23T00:00:00"/>
    <x v="1"/>
    <x v="1"/>
    <x v="0"/>
    <x v="0"/>
    <x v="21"/>
    <x v="0"/>
    <x v="2"/>
    <x v="1"/>
  </r>
  <r>
    <s v="TX500398"/>
    <x v="2"/>
    <x v="9"/>
    <n v="83.6"/>
    <n v="418"/>
    <x v="17"/>
    <d v="2025-01-18T00:00:00"/>
    <x v="2"/>
    <x v="4"/>
    <x v="0"/>
    <x v="0"/>
    <x v="1"/>
    <x v="7"/>
    <x v="2"/>
    <x v="2"/>
  </r>
  <r>
    <s v="TX500399"/>
    <x v="8"/>
    <x v="3"/>
    <n v="21.5"/>
    <n v="150.5"/>
    <x v="17"/>
    <d v="2025-01-20T00:00:00"/>
    <x v="1"/>
    <x v="1"/>
    <x v="4"/>
    <x v="0"/>
    <x v="34"/>
    <x v="1"/>
    <x v="2"/>
    <x v="1"/>
  </r>
  <r>
    <s v="TX500400"/>
    <x v="8"/>
    <x v="8"/>
    <n v="28.6"/>
    <n v="228.8"/>
    <x v="17"/>
    <d v="2025-01-19T00:00:00"/>
    <x v="1"/>
    <x v="0"/>
    <x v="0"/>
    <x v="0"/>
    <x v="3"/>
    <x v="3"/>
    <x v="2"/>
    <x v="1"/>
  </r>
  <r>
    <s v="TX500401"/>
    <x v="8"/>
    <x v="13"/>
    <n v="18.8"/>
    <n v="112.80000000000001"/>
    <x v="17"/>
    <d v="2025-01-21T00:00:00"/>
    <x v="1"/>
    <x v="3"/>
    <x v="2"/>
    <x v="0"/>
    <x v="3"/>
    <x v="2"/>
    <x v="2"/>
    <x v="1"/>
  </r>
  <r>
    <s v="TX500402"/>
    <x v="10"/>
    <x v="12"/>
    <n v="35.1"/>
    <n v="140.4"/>
    <x v="17"/>
    <d v="2025-01-18T00:00:00"/>
    <x v="2"/>
    <x v="1"/>
    <x v="1"/>
    <x v="0"/>
    <x v="3"/>
    <x v="7"/>
    <x v="2"/>
    <x v="2"/>
  </r>
  <r>
    <s v="TX500403"/>
    <x v="0"/>
    <x v="1"/>
    <n v="12.7"/>
    <n v="25.4"/>
    <x v="17"/>
    <d v="2025-01-20T00:00:00"/>
    <x v="2"/>
    <x v="1"/>
    <x v="2"/>
    <x v="0"/>
    <x v="3"/>
    <x v="1"/>
    <x v="2"/>
    <x v="2"/>
  </r>
  <r>
    <s v="TX500404"/>
    <x v="8"/>
    <x v="9"/>
    <n v="27.4"/>
    <n v="137"/>
    <x v="17"/>
    <d v="2025-01-20T00:00:00"/>
    <x v="3"/>
    <x v="0"/>
    <x v="0"/>
    <x v="0"/>
    <x v="3"/>
    <x v="1"/>
    <x v="2"/>
    <x v="3"/>
  </r>
  <r>
    <s v="TX500405"/>
    <x v="10"/>
    <x v="1"/>
    <n v="61.3"/>
    <n v="122.6"/>
    <x v="17"/>
    <d v="2025-01-19T00:00:00"/>
    <x v="2"/>
    <x v="1"/>
    <x v="0"/>
    <x v="0"/>
    <x v="6"/>
    <x v="3"/>
    <x v="2"/>
    <x v="2"/>
  </r>
  <r>
    <s v="TX500406"/>
    <x v="8"/>
    <x v="1"/>
    <n v="64.7"/>
    <n v="129.4"/>
    <x v="17"/>
    <d v="2025-01-20T00:00:00"/>
    <x v="2"/>
    <x v="3"/>
    <x v="2"/>
    <x v="0"/>
    <x v="6"/>
    <x v="1"/>
    <x v="2"/>
    <x v="2"/>
  </r>
  <r>
    <s v="TX500407"/>
    <x v="7"/>
    <x v="12"/>
    <n v="91.4"/>
    <n v="365.6"/>
    <x v="17"/>
    <d v="2025-01-20T00:00:00"/>
    <x v="2"/>
    <x v="0"/>
    <x v="0"/>
    <x v="0"/>
    <x v="8"/>
    <x v="1"/>
    <x v="2"/>
    <x v="2"/>
  </r>
  <r>
    <s v="TX500408"/>
    <x v="0"/>
    <x v="1"/>
    <n v="33.1"/>
    <n v="66.2"/>
    <x v="18"/>
    <d v="2025-01-20T00:00:00"/>
    <x v="1"/>
    <x v="0"/>
    <x v="2"/>
    <x v="0"/>
    <x v="8"/>
    <x v="3"/>
    <x v="3"/>
    <x v="1"/>
  </r>
  <r>
    <s v="TX500409"/>
    <x v="3"/>
    <x v="1"/>
    <n v="105.6"/>
    <n v="211.2"/>
    <x v="18"/>
    <d v="2025-01-20T00:00:00"/>
    <x v="1"/>
    <x v="2"/>
    <x v="1"/>
    <x v="0"/>
    <x v="8"/>
    <x v="3"/>
    <x v="3"/>
    <x v="1"/>
  </r>
  <r>
    <s v="TX500410"/>
    <x v="10"/>
    <x v="2"/>
    <n v="46.4"/>
    <n v="139.19999999999999"/>
    <x v="18"/>
    <d v="2025-01-20T00:00:00"/>
    <x v="1"/>
    <x v="2"/>
    <x v="0"/>
    <x v="0"/>
    <x v="9"/>
    <x v="3"/>
    <x v="3"/>
    <x v="1"/>
  </r>
  <r>
    <s v="TX500411"/>
    <x v="9"/>
    <x v="21"/>
    <n v="35.299999999999997"/>
    <n v="494.19999999999993"/>
    <x v="18"/>
    <d v="2025-01-22T00:00:00"/>
    <x v="2"/>
    <x v="4"/>
    <x v="1"/>
    <x v="0"/>
    <x v="11"/>
    <x v="2"/>
    <x v="3"/>
    <x v="2"/>
  </r>
  <r>
    <s v="TX500412"/>
    <x v="0"/>
    <x v="1"/>
    <n v="16.100000000000001"/>
    <n v="32.200000000000003"/>
    <x v="18"/>
    <d v="2025-01-21T00:00:00"/>
    <x v="1"/>
    <x v="3"/>
    <x v="2"/>
    <x v="0"/>
    <x v="32"/>
    <x v="1"/>
    <x v="3"/>
    <x v="1"/>
  </r>
  <r>
    <s v="TX500413"/>
    <x v="4"/>
    <x v="1"/>
    <n v="27.9"/>
    <n v="55.8"/>
    <x v="18"/>
    <d v="2025-01-22T00:00:00"/>
    <x v="1"/>
    <x v="0"/>
    <x v="0"/>
    <x v="0"/>
    <x v="13"/>
    <x v="2"/>
    <x v="3"/>
    <x v="1"/>
  </r>
  <r>
    <s v="TX500414"/>
    <x v="8"/>
    <x v="0"/>
    <n v="47.1"/>
    <n v="47.1"/>
    <x v="18"/>
    <d v="2025-01-27T00:00:00"/>
    <x v="2"/>
    <x v="1"/>
    <x v="0"/>
    <x v="0"/>
    <x v="2"/>
    <x v="9"/>
    <x v="3"/>
    <x v="2"/>
  </r>
  <r>
    <s v="TX500415"/>
    <x v="6"/>
    <x v="1"/>
    <n v="85"/>
    <n v="170"/>
    <x v="18"/>
    <d v="2025-01-22T00:00:00"/>
    <x v="0"/>
    <x v="2"/>
    <x v="2"/>
    <x v="0"/>
    <x v="22"/>
    <x v="2"/>
    <x v="3"/>
    <x v="0"/>
  </r>
  <r>
    <s v="TX500416"/>
    <x v="18"/>
    <x v="1"/>
    <n v="89"/>
    <n v="178"/>
    <x v="18"/>
    <d v="2025-01-21T00:00:00"/>
    <x v="2"/>
    <x v="0"/>
    <x v="0"/>
    <x v="0"/>
    <x v="3"/>
    <x v="1"/>
    <x v="3"/>
    <x v="2"/>
  </r>
  <r>
    <s v="TX500417"/>
    <x v="16"/>
    <x v="2"/>
    <n v="36.6"/>
    <n v="109.80000000000001"/>
    <x v="18"/>
    <d v="2025-01-20T00:00:00"/>
    <x v="3"/>
    <x v="3"/>
    <x v="2"/>
    <x v="0"/>
    <x v="3"/>
    <x v="3"/>
    <x v="3"/>
    <x v="3"/>
  </r>
  <r>
    <s v="TX500418"/>
    <x v="6"/>
    <x v="3"/>
    <n v="43.5"/>
    <n v="304.5"/>
    <x v="18"/>
    <d v="2025-01-20T00:00:00"/>
    <x v="1"/>
    <x v="1"/>
    <x v="2"/>
    <x v="0"/>
    <x v="3"/>
    <x v="3"/>
    <x v="3"/>
    <x v="1"/>
  </r>
  <r>
    <s v="TX500419"/>
    <x v="9"/>
    <x v="10"/>
    <n v="30.5"/>
    <n v="579.5"/>
    <x v="18"/>
    <d v="2025-01-19T00:00:00"/>
    <x v="2"/>
    <x v="3"/>
    <x v="0"/>
    <x v="0"/>
    <x v="3"/>
    <x v="7"/>
    <x v="3"/>
    <x v="2"/>
  </r>
  <r>
    <s v="TX500420"/>
    <x v="1"/>
    <x v="1"/>
    <n v="107.7"/>
    <n v="215.4"/>
    <x v="18"/>
    <d v="2025-01-23T00:00:00"/>
    <x v="1"/>
    <x v="3"/>
    <x v="4"/>
    <x v="0"/>
    <x v="3"/>
    <x v="5"/>
    <x v="3"/>
    <x v="1"/>
  </r>
  <r>
    <s v="TX500421"/>
    <x v="17"/>
    <x v="18"/>
    <n v="57.1"/>
    <n v="1484.6000000000001"/>
    <x v="18"/>
    <d v="2025-01-20T00:00:00"/>
    <x v="1"/>
    <x v="1"/>
    <x v="0"/>
    <x v="0"/>
    <x v="3"/>
    <x v="3"/>
    <x v="3"/>
    <x v="1"/>
  </r>
  <r>
    <s v="TX500422"/>
    <x v="2"/>
    <x v="7"/>
    <n v="111.7"/>
    <n v="1117"/>
    <x v="18"/>
    <d v="2025-01-20T00:00:00"/>
    <x v="2"/>
    <x v="4"/>
    <x v="2"/>
    <x v="0"/>
    <x v="3"/>
    <x v="3"/>
    <x v="3"/>
    <x v="2"/>
  </r>
  <r>
    <s v="TX500423"/>
    <x v="18"/>
    <x v="3"/>
    <n v="44.3"/>
    <n v="310.09999999999997"/>
    <x v="18"/>
    <d v="2025-01-22T00:00:00"/>
    <x v="1"/>
    <x v="3"/>
    <x v="2"/>
    <x v="0"/>
    <x v="3"/>
    <x v="2"/>
    <x v="3"/>
    <x v="1"/>
  </r>
  <r>
    <s v="TX500424"/>
    <x v="2"/>
    <x v="8"/>
    <n v="95.8"/>
    <n v="766.4"/>
    <x v="18"/>
    <d v="2025-01-25T00:00:00"/>
    <x v="3"/>
    <x v="0"/>
    <x v="0"/>
    <x v="0"/>
    <x v="3"/>
    <x v="4"/>
    <x v="3"/>
    <x v="3"/>
  </r>
  <r>
    <s v="TX500425"/>
    <x v="10"/>
    <x v="3"/>
    <n v="22.6"/>
    <n v="158.20000000000002"/>
    <x v="18"/>
    <d v="2025-01-22T00:00:00"/>
    <x v="2"/>
    <x v="3"/>
    <x v="1"/>
    <x v="0"/>
    <x v="3"/>
    <x v="2"/>
    <x v="3"/>
    <x v="2"/>
  </r>
  <r>
    <s v="TX500426"/>
    <x v="8"/>
    <x v="8"/>
    <n v="25.6"/>
    <n v="204.8"/>
    <x v="18"/>
    <d v="2025-01-21T00:00:00"/>
    <x v="2"/>
    <x v="4"/>
    <x v="0"/>
    <x v="0"/>
    <x v="3"/>
    <x v="1"/>
    <x v="3"/>
    <x v="2"/>
  </r>
  <r>
    <s v="TX500427"/>
    <x v="6"/>
    <x v="27"/>
    <n v="54.3"/>
    <n v="868.8"/>
    <x v="18"/>
    <d v="2025-01-22T00:00:00"/>
    <x v="2"/>
    <x v="4"/>
    <x v="0"/>
    <x v="0"/>
    <x v="3"/>
    <x v="2"/>
    <x v="3"/>
    <x v="2"/>
  </r>
  <r>
    <s v="TX500428"/>
    <x v="18"/>
    <x v="15"/>
    <n v="51.3"/>
    <n v="666.9"/>
    <x v="18"/>
    <d v="2025-01-21T00:00:00"/>
    <x v="1"/>
    <x v="0"/>
    <x v="2"/>
    <x v="0"/>
    <x v="3"/>
    <x v="1"/>
    <x v="3"/>
    <x v="1"/>
  </r>
  <r>
    <s v="TX500429"/>
    <x v="0"/>
    <x v="8"/>
    <n v="25.6"/>
    <n v="204.8"/>
    <x v="18"/>
    <d v="2025-01-20T00:00:00"/>
    <x v="2"/>
    <x v="1"/>
    <x v="1"/>
    <x v="0"/>
    <x v="3"/>
    <x v="3"/>
    <x v="3"/>
    <x v="2"/>
  </r>
  <r>
    <s v="TX500430"/>
    <x v="0"/>
    <x v="1"/>
    <n v="15.6"/>
    <n v="31.2"/>
    <x v="18"/>
    <d v="2025-01-20T00:00:00"/>
    <x v="2"/>
    <x v="2"/>
    <x v="2"/>
    <x v="0"/>
    <x v="3"/>
    <x v="3"/>
    <x v="3"/>
    <x v="2"/>
  </r>
  <r>
    <s v="TX500431"/>
    <x v="8"/>
    <x v="2"/>
    <n v="30.3"/>
    <n v="90.9"/>
    <x v="18"/>
    <d v="2025-01-23T00:00:00"/>
    <x v="2"/>
    <x v="0"/>
    <x v="1"/>
    <x v="0"/>
    <x v="3"/>
    <x v="5"/>
    <x v="3"/>
    <x v="2"/>
  </r>
  <r>
    <s v="TX500432"/>
    <x v="12"/>
    <x v="1"/>
    <n v="30.3"/>
    <n v="60.6"/>
    <x v="18"/>
    <d v="2025-01-24T00:00:00"/>
    <x v="2"/>
    <x v="0"/>
    <x v="2"/>
    <x v="0"/>
    <x v="37"/>
    <x v="0"/>
    <x v="3"/>
    <x v="2"/>
  </r>
  <r>
    <s v="TX500433"/>
    <x v="10"/>
    <x v="2"/>
    <n v="53"/>
    <n v="159"/>
    <x v="18"/>
    <d v="2025-01-26T00:00:00"/>
    <x v="2"/>
    <x v="2"/>
    <x v="0"/>
    <x v="0"/>
    <x v="24"/>
    <x v="6"/>
    <x v="3"/>
    <x v="2"/>
  </r>
  <r>
    <s v="TX500434"/>
    <x v="5"/>
    <x v="16"/>
    <n v="59.9"/>
    <n v="1078.2"/>
    <x v="18"/>
    <d v="2025-01-22T00:00:00"/>
    <x v="1"/>
    <x v="2"/>
    <x v="4"/>
    <x v="0"/>
    <x v="25"/>
    <x v="2"/>
    <x v="3"/>
    <x v="1"/>
  </r>
  <r>
    <s v="TX500435"/>
    <x v="9"/>
    <x v="1"/>
    <n v="45.7"/>
    <n v="91.4"/>
    <x v="18"/>
    <d v="2025-01-20T00:00:00"/>
    <x v="2"/>
    <x v="1"/>
    <x v="2"/>
    <x v="0"/>
    <x v="6"/>
    <x v="3"/>
    <x v="3"/>
    <x v="2"/>
  </r>
  <r>
    <s v="TX500436"/>
    <x v="8"/>
    <x v="12"/>
    <n v="46.1"/>
    <n v="184.4"/>
    <x v="18"/>
    <d v="2025-01-20T00:00:00"/>
    <x v="1"/>
    <x v="0"/>
    <x v="0"/>
    <x v="0"/>
    <x v="6"/>
    <x v="3"/>
    <x v="3"/>
    <x v="1"/>
  </r>
  <r>
    <s v="TX500437"/>
    <x v="8"/>
    <x v="2"/>
    <n v="17.5"/>
    <n v="52.5"/>
    <x v="18"/>
    <d v="2025-01-20T00:00:00"/>
    <x v="2"/>
    <x v="0"/>
    <x v="2"/>
    <x v="0"/>
    <x v="8"/>
    <x v="3"/>
    <x v="3"/>
    <x v="2"/>
  </r>
  <r>
    <s v="TX500438"/>
    <x v="10"/>
    <x v="2"/>
    <n v="36.5"/>
    <n v="109.5"/>
    <x v="18"/>
    <d v="2025-01-30T00:00:00"/>
    <x v="1"/>
    <x v="2"/>
    <x v="0"/>
    <x v="0"/>
    <x v="8"/>
    <x v="11"/>
    <x v="3"/>
    <x v="1"/>
  </r>
  <r>
    <s v="TX500439"/>
    <x v="8"/>
    <x v="1"/>
    <n v="47.5"/>
    <n v="95"/>
    <x v="19"/>
    <d v="2025-01-22T00:00:00"/>
    <x v="2"/>
    <x v="1"/>
    <x v="0"/>
    <x v="0"/>
    <x v="8"/>
    <x v="1"/>
    <x v="3"/>
    <x v="2"/>
  </r>
  <r>
    <s v="TX500440"/>
    <x v="6"/>
    <x v="9"/>
    <n v="45.6"/>
    <n v="228"/>
    <x v="19"/>
    <d v="2025-01-22T00:00:00"/>
    <x v="2"/>
    <x v="0"/>
    <x v="2"/>
    <x v="0"/>
    <x v="8"/>
    <x v="1"/>
    <x v="3"/>
    <x v="2"/>
  </r>
  <r>
    <s v="TX500441"/>
    <x v="9"/>
    <x v="1"/>
    <n v="50.5"/>
    <n v="101"/>
    <x v="19"/>
    <d v="2025-01-22T00:00:00"/>
    <x v="1"/>
    <x v="0"/>
    <x v="1"/>
    <x v="0"/>
    <x v="17"/>
    <x v="1"/>
    <x v="3"/>
    <x v="1"/>
  </r>
  <r>
    <s v="TX500442"/>
    <x v="2"/>
    <x v="7"/>
    <n v="99.8"/>
    <n v="998"/>
    <x v="19"/>
    <d v="2025-01-23T00:00:00"/>
    <x v="2"/>
    <x v="2"/>
    <x v="1"/>
    <x v="0"/>
    <x v="17"/>
    <x v="2"/>
    <x v="3"/>
    <x v="2"/>
  </r>
  <r>
    <s v="TX500443"/>
    <x v="8"/>
    <x v="20"/>
    <n v="19.2"/>
    <n v="288"/>
    <x v="19"/>
    <d v="2025-01-22T00:00:00"/>
    <x v="3"/>
    <x v="4"/>
    <x v="1"/>
    <x v="0"/>
    <x v="26"/>
    <x v="1"/>
    <x v="3"/>
    <x v="3"/>
  </r>
  <r>
    <s v="TX500444"/>
    <x v="17"/>
    <x v="2"/>
    <n v="22.6"/>
    <n v="67.800000000000011"/>
    <x v="19"/>
    <d v="2025-01-21T00:00:00"/>
    <x v="1"/>
    <x v="1"/>
    <x v="0"/>
    <x v="0"/>
    <x v="11"/>
    <x v="3"/>
    <x v="3"/>
    <x v="1"/>
  </r>
  <r>
    <s v="TX500445"/>
    <x v="1"/>
    <x v="20"/>
    <n v="126.9"/>
    <n v="1903.5"/>
    <x v="19"/>
    <d v="2025-01-22T00:00:00"/>
    <x v="2"/>
    <x v="0"/>
    <x v="2"/>
    <x v="0"/>
    <x v="11"/>
    <x v="1"/>
    <x v="3"/>
    <x v="2"/>
  </r>
  <r>
    <s v="TX500446"/>
    <x v="2"/>
    <x v="1"/>
    <n v="100.3"/>
    <n v="200.6"/>
    <x v="19"/>
    <d v="2025-01-21T00:00:00"/>
    <x v="2"/>
    <x v="0"/>
    <x v="1"/>
    <x v="0"/>
    <x v="11"/>
    <x v="3"/>
    <x v="3"/>
    <x v="2"/>
  </r>
  <r>
    <s v="TX500447"/>
    <x v="4"/>
    <x v="16"/>
    <n v="24.6"/>
    <n v="442.8"/>
    <x v="19"/>
    <d v="2025-01-21T00:00:00"/>
    <x v="2"/>
    <x v="4"/>
    <x v="0"/>
    <x v="0"/>
    <x v="13"/>
    <x v="3"/>
    <x v="3"/>
    <x v="2"/>
  </r>
  <r>
    <s v="TX500448"/>
    <x v="6"/>
    <x v="1"/>
    <n v="47.3"/>
    <n v="94.6"/>
    <x v="19"/>
    <d v="2025-01-21T00:00:00"/>
    <x v="1"/>
    <x v="1"/>
    <x v="2"/>
    <x v="0"/>
    <x v="13"/>
    <x v="3"/>
    <x v="3"/>
    <x v="1"/>
  </r>
  <r>
    <s v="TX500449"/>
    <x v="6"/>
    <x v="3"/>
    <n v="40.799999999999997"/>
    <n v="285.59999999999997"/>
    <x v="19"/>
    <d v="2025-01-23T00:00:00"/>
    <x v="2"/>
    <x v="2"/>
    <x v="2"/>
    <x v="0"/>
    <x v="21"/>
    <x v="2"/>
    <x v="3"/>
    <x v="2"/>
  </r>
  <r>
    <s v="TX500450"/>
    <x v="8"/>
    <x v="8"/>
    <n v="49.2"/>
    <n v="393.6"/>
    <x v="19"/>
    <d v="2025-01-22T00:00:00"/>
    <x v="2"/>
    <x v="0"/>
    <x v="0"/>
    <x v="0"/>
    <x v="1"/>
    <x v="1"/>
    <x v="3"/>
    <x v="2"/>
  </r>
  <r>
    <s v="TX500451"/>
    <x v="8"/>
    <x v="0"/>
    <n v="28.5"/>
    <n v="28.5"/>
    <x v="19"/>
    <d v="2025-01-22T00:00:00"/>
    <x v="0"/>
    <x v="2"/>
    <x v="1"/>
    <x v="0"/>
    <x v="3"/>
    <x v="1"/>
    <x v="3"/>
    <x v="0"/>
  </r>
  <r>
    <s v="TX500452"/>
    <x v="18"/>
    <x v="1"/>
    <n v="36.799999999999997"/>
    <n v="73.599999999999994"/>
    <x v="19"/>
    <d v="2025-01-26T00:00:00"/>
    <x v="2"/>
    <x v="0"/>
    <x v="2"/>
    <x v="0"/>
    <x v="3"/>
    <x v="4"/>
    <x v="3"/>
    <x v="2"/>
  </r>
  <r>
    <s v="TX500453"/>
    <x v="7"/>
    <x v="2"/>
    <n v="33.5"/>
    <n v="100.5"/>
    <x v="19"/>
    <d v="2025-01-21T00:00:00"/>
    <x v="2"/>
    <x v="0"/>
    <x v="1"/>
    <x v="0"/>
    <x v="3"/>
    <x v="3"/>
    <x v="3"/>
    <x v="2"/>
  </r>
  <r>
    <s v="TX500454"/>
    <x v="6"/>
    <x v="13"/>
    <n v="62.5"/>
    <n v="375"/>
    <x v="19"/>
    <d v="2025-01-22T00:00:00"/>
    <x v="2"/>
    <x v="0"/>
    <x v="0"/>
    <x v="0"/>
    <x v="3"/>
    <x v="1"/>
    <x v="3"/>
    <x v="2"/>
  </r>
  <r>
    <s v="TX500455"/>
    <x v="8"/>
    <x v="29"/>
    <n v="47.9"/>
    <n v="1916"/>
    <x v="19"/>
    <d v="2025-01-21T00:00:00"/>
    <x v="2"/>
    <x v="3"/>
    <x v="0"/>
    <x v="0"/>
    <x v="3"/>
    <x v="3"/>
    <x v="3"/>
    <x v="2"/>
  </r>
  <r>
    <s v="TX500456"/>
    <x v="6"/>
    <x v="13"/>
    <n v="92.9"/>
    <n v="557.40000000000009"/>
    <x v="19"/>
    <d v="2025-01-31T00:00:00"/>
    <x v="2"/>
    <x v="0"/>
    <x v="4"/>
    <x v="0"/>
    <x v="3"/>
    <x v="11"/>
    <x v="3"/>
    <x v="2"/>
  </r>
  <r>
    <s v="TX500457"/>
    <x v="12"/>
    <x v="2"/>
    <n v="44.1"/>
    <n v="132.30000000000001"/>
    <x v="19"/>
    <d v="2025-01-20T00:00:00"/>
    <x v="2"/>
    <x v="1"/>
    <x v="1"/>
    <x v="0"/>
    <x v="43"/>
    <x v="7"/>
    <x v="3"/>
    <x v="2"/>
  </r>
  <r>
    <s v="TX500458"/>
    <x v="0"/>
    <x v="0"/>
    <n v="11.4"/>
    <n v="11.4"/>
    <x v="20"/>
    <d v="2025-01-23T00:00:00"/>
    <x v="2"/>
    <x v="2"/>
    <x v="0"/>
    <x v="0"/>
    <x v="5"/>
    <x v="1"/>
    <x v="3"/>
    <x v="2"/>
  </r>
  <r>
    <s v="TX500459"/>
    <x v="6"/>
    <x v="0"/>
    <n v="83.7"/>
    <n v="83.7"/>
    <x v="20"/>
    <d v="2025-01-23T00:00:00"/>
    <x v="2"/>
    <x v="0"/>
    <x v="2"/>
    <x v="0"/>
    <x v="6"/>
    <x v="1"/>
    <x v="3"/>
    <x v="2"/>
  </r>
  <r>
    <s v="TX500460"/>
    <x v="10"/>
    <x v="1"/>
    <n v="23.2"/>
    <n v="46.4"/>
    <x v="20"/>
    <d v="2025-01-22T00:00:00"/>
    <x v="1"/>
    <x v="2"/>
    <x v="0"/>
    <x v="0"/>
    <x v="8"/>
    <x v="3"/>
    <x v="3"/>
    <x v="1"/>
  </r>
  <r>
    <s v="TX500461"/>
    <x v="2"/>
    <x v="0"/>
    <n v="162.1"/>
    <n v="162.1"/>
    <x v="20"/>
    <d v="2025-01-24T00:00:00"/>
    <x v="2"/>
    <x v="0"/>
    <x v="2"/>
    <x v="0"/>
    <x v="9"/>
    <x v="2"/>
    <x v="3"/>
    <x v="2"/>
  </r>
  <r>
    <s v="TX500462"/>
    <x v="6"/>
    <x v="12"/>
    <n v="49.2"/>
    <n v="196.8"/>
    <x v="20"/>
    <d v="2025-01-25T00:00:00"/>
    <x v="1"/>
    <x v="1"/>
    <x v="0"/>
    <x v="0"/>
    <x v="9"/>
    <x v="5"/>
    <x v="3"/>
    <x v="1"/>
  </r>
  <r>
    <s v="TX500463"/>
    <x v="1"/>
    <x v="1"/>
    <n v="61"/>
    <n v="122"/>
    <x v="20"/>
    <d v="2025-01-22T00:00:00"/>
    <x v="1"/>
    <x v="3"/>
    <x v="0"/>
    <x v="0"/>
    <x v="10"/>
    <x v="3"/>
    <x v="3"/>
    <x v="1"/>
  </r>
  <r>
    <s v="TX500464"/>
    <x v="2"/>
    <x v="7"/>
    <n v="53.1"/>
    <n v="531"/>
    <x v="20"/>
    <d v="2025-01-23T00:00:00"/>
    <x v="1"/>
    <x v="0"/>
    <x v="0"/>
    <x v="0"/>
    <x v="11"/>
    <x v="1"/>
    <x v="3"/>
    <x v="1"/>
  </r>
  <r>
    <s v="TX500465"/>
    <x v="4"/>
    <x v="1"/>
    <n v="22.4"/>
    <n v="44.8"/>
    <x v="20"/>
    <d v="2025-01-23T00:00:00"/>
    <x v="0"/>
    <x v="1"/>
    <x v="2"/>
    <x v="0"/>
    <x v="13"/>
    <x v="1"/>
    <x v="3"/>
    <x v="0"/>
  </r>
  <r>
    <s v="TX500466"/>
    <x v="1"/>
    <x v="9"/>
    <n v="75.3"/>
    <n v="376.5"/>
    <x v="20"/>
    <d v="2025-01-22T00:00:00"/>
    <x v="1"/>
    <x v="0"/>
    <x v="0"/>
    <x v="0"/>
    <x v="21"/>
    <x v="3"/>
    <x v="3"/>
    <x v="1"/>
  </r>
  <r>
    <s v="TX500467"/>
    <x v="6"/>
    <x v="0"/>
    <n v="48.5"/>
    <n v="48.5"/>
    <x v="20"/>
    <d v="2025-01-22T00:00:00"/>
    <x v="2"/>
    <x v="0"/>
    <x v="1"/>
    <x v="0"/>
    <x v="21"/>
    <x v="3"/>
    <x v="3"/>
    <x v="2"/>
  </r>
  <r>
    <s v="TX500468"/>
    <x v="6"/>
    <x v="0"/>
    <n v="42.6"/>
    <n v="42.6"/>
    <x v="20"/>
    <d v="2025-01-25T00:00:00"/>
    <x v="2"/>
    <x v="3"/>
    <x v="0"/>
    <x v="0"/>
    <x v="1"/>
    <x v="5"/>
    <x v="3"/>
    <x v="2"/>
  </r>
  <r>
    <s v="TX500469"/>
    <x v="5"/>
    <x v="9"/>
    <n v="49"/>
    <n v="245"/>
    <x v="20"/>
    <d v="2025-01-22T00:00:00"/>
    <x v="1"/>
    <x v="0"/>
    <x v="0"/>
    <x v="0"/>
    <x v="22"/>
    <x v="3"/>
    <x v="3"/>
    <x v="1"/>
  </r>
  <r>
    <s v="TX500470"/>
    <x v="8"/>
    <x v="2"/>
    <n v="31.3"/>
    <n v="93.9"/>
    <x v="20"/>
    <d v="2025-01-22T00:00:00"/>
    <x v="1"/>
    <x v="2"/>
    <x v="1"/>
    <x v="0"/>
    <x v="3"/>
    <x v="3"/>
    <x v="3"/>
    <x v="1"/>
  </r>
  <r>
    <s v="TX500471"/>
    <x v="2"/>
    <x v="1"/>
    <n v="85.4"/>
    <n v="170.8"/>
    <x v="20"/>
    <d v="2025-01-22T00:00:00"/>
    <x v="2"/>
    <x v="2"/>
    <x v="0"/>
    <x v="0"/>
    <x v="3"/>
    <x v="3"/>
    <x v="3"/>
    <x v="2"/>
  </r>
  <r>
    <s v="TX500472"/>
    <x v="8"/>
    <x v="12"/>
    <n v="40"/>
    <n v="160"/>
    <x v="20"/>
    <d v="2025-01-22T00:00:00"/>
    <x v="3"/>
    <x v="0"/>
    <x v="2"/>
    <x v="0"/>
    <x v="3"/>
    <x v="3"/>
    <x v="3"/>
    <x v="3"/>
  </r>
  <r>
    <s v="TX500473"/>
    <x v="5"/>
    <x v="1"/>
    <n v="38.5"/>
    <n v="77"/>
    <x v="20"/>
    <d v="2025-01-24T00:00:00"/>
    <x v="1"/>
    <x v="1"/>
    <x v="2"/>
    <x v="0"/>
    <x v="3"/>
    <x v="2"/>
    <x v="3"/>
    <x v="1"/>
  </r>
  <r>
    <s v="TX500474"/>
    <x v="2"/>
    <x v="1"/>
    <n v="57.8"/>
    <n v="115.6"/>
    <x v="20"/>
    <d v="2025-01-22T00:00:00"/>
    <x v="0"/>
    <x v="0"/>
    <x v="0"/>
    <x v="0"/>
    <x v="3"/>
    <x v="3"/>
    <x v="3"/>
    <x v="0"/>
  </r>
  <r>
    <s v="TX500475"/>
    <x v="8"/>
    <x v="0"/>
    <n v="19.2"/>
    <n v="19.2"/>
    <x v="20"/>
    <d v="2025-01-22T00:00:00"/>
    <x v="2"/>
    <x v="0"/>
    <x v="4"/>
    <x v="0"/>
    <x v="3"/>
    <x v="3"/>
    <x v="3"/>
    <x v="2"/>
  </r>
  <r>
    <s v="TX500476"/>
    <x v="6"/>
    <x v="13"/>
    <n v="114.8"/>
    <n v="688.8"/>
    <x v="20"/>
    <d v="2025-01-24T00:00:00"/>
    <x v="1"/>
    <x v="1"/>
    <x v="1"/>
    <x v="0"/>
    <x v="3"/>
    <x v="2"/>
    <x v="3"/>
    <x v="1"/>
  </r>
  <r>
    <s v="TX500477"/>
    <x v="10"/>
    <x v="3"/>
    <n v="48.4"/>
    <n v="338.8"/>
    <x v="20"/>
    <d v="2025-01-24T00:00:00"/>
    <x v="2"/>
    <x v="3"/>
    <x v="1"/>
    <x v="0"/>
    <x v="3"/>
    <x v="2"/>
    <x v="3"/>
    <x v="2"/>
  </r>
  <r>
    <s v="TX500478"/>
    <x v="9"/>
    <x v="9"/>
    <n v="73.2"/>
    <n v="366"/>
    <x v="20"/>
    <d v="2025-01-22T00:00:00"/>
    <x v="2"/>
    <x v="1"/>
    <x v="4"/>
    <x v="0"/>
    <x v="3"/>
    <x v="3"/>
    <x v="3"/>
    <x v="2"/>
  </r>
  <r>
    <s v="TX500479"/>
    <x v="15"/>
    <x v="1"/>
    <n v="48.6"/>
    <n v="97.2"/>
    <x v="20"/>
    <d v="2025-01-25T00:00:00"/>
    <x v="2"/>
    <x v="3"/>
    <x v="0"/>
    <x v="0"/>
    <x v="3"/>
    <x v="5"/>
    <x v="3"/>
    <x v="2"/>
  </r>
  <r>
    <s v="TX500480"/>
    <x v="0"/>
    <x v="13"/>
    <n v="48.7"/>
    <n v="292.20000000000005"/>
    <x v="20"/>
    <d v="2025-01-22T00:00:00"/>
    <x v="1"/>
    <x v="0"/>
    <x v="0"/>
    <x v="0"/>
    <x v="3"/>
    <x v="3"/>
    <x v="3"/>
    <x v="1"/>
  </r>
  <r>
    <s v="TX500481"/>
    <x v="4"/>
    <x v="1"/>
    <n v="32.200000000000003"/>
    <n v="64.400000000000006"/>
    <x v="20"/>
    <d v="2025-01-24T00:00:00"/>
    <x v="1"/>
    <x v="2"/>
    <x v="2"/>
    <x v="0"/>
    <x v="3"/>
    <x v="2"/>
    <x v="3"/>
    <x v="1"/>
  </r>
  <r>
    <s v="TX500482"/>
    <x v="15"/>
    <x v="8"/>
    <n v="25.8"/>
    <n v="206.4"/>
    <x v="20"/>
    <d v="2025-01-22T00:00:00"/>
    <x v="1"/>
    <x v="0"/>
    <x v="0"/>
    <x v="0"/>
    <x v="37"/>
    <x v="3"/>
    <x v="3"/>
    <x v="1"/>
  </r>
  <r>
    <s v="TX500483"/>
    <x v="6"/>
    <x v="1"/>
    <n v="94.8"/>
    <n v="189.6"/>
    <x v="21"/>
    <d v="2025-01-25T00:00:00"/>
    <x v="2"/>
    <x v="1"/>
    <x v="1"/>
    <x v="0"/>
    <x v="25"/>
    <x v="2"/>
    <x v="3"/>
    <x v="2"/>
  </r>
  <r>
    <s v="TX500484"/>
    <x v="15"/>
    <x v="30"/>
    <n v="56.8"/>
    <n v="1420"/>
    <x v="21"/>
    <d v="2025-01-25T00:00:00"/>
    <x v="1"/>
    <x v="0"/>
    <x v="0"/>
    <x v="0"/>
    <x v="25"/>
    <x v="2"/>
    <x v="3"/>
    <x v="1"/>
  </r>
  <r>
    <s v="TX500485"/>
    <x v="8"/>
    <x v="27"/>
    <n v="18.3"/>
    <n v="292.8"/>
    <x v="21"/>
    <d v="2025-01-29T00:00:00"/>
    <x v="2"/>
    <x v="2"/>
    <x v="2"/>
    <x v="0"/>
    <x v="23"/>
    <x v="6"/>
    <x v="3"/>
    <x v="2"/>
  </r>
  <r>
    <s v="TX500486"/>
    <x v="0"/>
    <x v="2"/>
    <n v="16.8"/>
    <n v="50.400000000000006"/>
    <x v="21"/>
    <d v="2025-01-27T00:00:00"/>
    <x v="2"/>
    <x v="2"/>
    <x v="2"/>
    <x v="0"/>
    <x v="8"/>
    <x v="0"/>
    <x v="3"/>
    <x v="2"/>
  </r>
  <r>
    <s v="TX500487"/>
    <x v="5"/>
    <x v="5"/>
    <n v="35.799999999999997"/>
    <n v="393.79999999999995"/>
    <x v="21"/>
    <d v="2025-01-23T00:00:00"/>
    <x v="1"/>
    <x v="1"/>
    <x v="0"/>
    <x v="0"/>
    <x v="17"/>
    <x v="3"/>
    <x v="3"/>
    <x v="1"/>
  </r>
  <r>
    <s v="TX500488"/>
    <x v="18"/>
    <x v="0"/>
    <n v="64.900000000000006"/>
    <n v="64.900000000000006"/>
    <x v="21"/>
    <d v="2025-01-23T00:00:00"/>
    <x v="1"/>
    <x v="0"/>
    <x v="1"/>
    <x v="0"/>
    <x v="17"/>
    <x v="3"/>
    <x v="3"/>
    <x v="1"/>
  </r>
  <r>
    <s v="TX500489"/>
    <x v="18"/>
    <x v="0"/>
    <n v="28.5"/>
    <n v="28.5"/>
    <x v="21"/>
    <d v="2025-01-24T00:00:00"/>
    <x v="0"/>
    <x v="1"/>
    <x v="0"/>
    <x v="0"/>
    <x v="9"/>
    <x v="1"/>
    <x v="3"/>
    <x v="0"/>
  </r>
  <r>
    <s v="TX500490"/>
    <x v="18"/>
    <x v="1"/>
    <n v="103.5"/>
    <n v="207"/>
    <x v="21"/>
    <d v="2025-01-24T00:00:00"/>
    <x v="2"/>
    <x v="1"/>
    <x v="0"/>
    <x v="0"/>
    <x v="10"/>
    <x v="1"/>
    <x v="3"/>
    <x v="2"/>
  </r>
  <r>
    <s v="TX500491"/>
    <x v="4"/>
    <x v="1"/>
    <n v="41.2"/>
    <n v="82.4"/>
    <x v="21"/>
    <d v="2025-01-23T00:00:00"/>
    <x v="2"/>
    <x v="1"/>
    <x v="0"/>
    <x v="0"/>
    <x v="10"/>
    <x v="3"/>
    <x v="3"/>
    <x v="2"/>
  </r>
  <r>
    <s v="TX500492"/>
    <x v="9"/>
    <x v="0"/>
    <n v="37.799999999999997"/>
    <n v="37.799999999999997"/>
    <x v="21"/>
    <d v="2025-01-24T00:00:00"/>
    <x v="2"/>
    <x v="3"/>
    <x v="3"/>
    <x v="0"/>
    <x v="11"/>
    <x v="1"/>
    <x v="3"/>
    <x v="2"/>
  </r>
  <r>
    <s v="TX500493"/>
    <x v="8"/>
    <x v="1"/>
    <n v="42.6"/>
    <n v="85.2"/>
    <x v="21"/>
    <d v="2025-01-24T00:00:00"/>
    <x v="2"/>
    <x v="4"/>
    <x v="0"/>
    <x v="0"/>
    <x v="11"/>
    <x v="1"/>
    <x v="3"/>
    <x v="2"/>
  </r>
  <r>
    <s v="TX500494"/>
    <x v="8"/>
    <x v="7"/>
    <n v="15.2"/>
    <n v="152"/>
    <x v="21"/>
    <d v="2025-01-24T00:00:00"/>
    <x v="2"/>
    <x v="2"/>
    <x v="0"/>
    <x v="0"/>
    <x v="11"/>
    <x v="1"/>
    <x v="3"/>
    <x v="2"/>
  </r>
  <r>
    <s v="TX500495"/>
    <x v="7"/>
    <x v="12"/>
    <n v="83.4"/>
    <n v="333.6"/>
    <x v="21"/>
    <d v="2025-01-23T00:00:00"/>
    <x v="2"/>
    <x v="2"/>
    <x v="1"/>
    <x v="0"/>
    <x v="18"/>
    <x v="3"/>
    <x v="3"/>
    <x v="2"/>
  </r>
  <r>
    <s v="TX500496"/>
    <x v="19"/>
    <x v="1"/>
    <n v="27.7"/>
    <n v="55.4"/>
    <x v="21"/>
    <d v="2025-01-23T00:00:00"/>
    <x v="2"/>
    <x v="0"/>
    <x v="1"/>
    <x v="0"/>
    <x v="13"/>
    <x v="3"/>
    <x v="3"/>
    <x v="2"/>
  </r>
  <r>
    <s v="TX500497"/>
    <x v="10"/>
    <x v="4"/>
    <n v="20.8"/>
    <n v="249.60000000000002"/>
    <x v="21"/>
    <d v="2025-01-23T00:00:00"/>
    <x v="1"/>
    <x v="3"/>
    <x v="0"/>
    <x v="0"/>
    <x v="13"/>
    <x v="3"/>
    <x v="3"/>
    <x v="1"/>
  </r>
  <r>
    <s v="TX500498"/>
    <x v="11"/>
    <x v="1"/>
    <n v="72.7"/>
    <n v="145.4"/>
    <x v="21"/>
    <d v="2025-01-26T00:00:00"/>
    <x v="2"/>
    <x v="4"/>
    <x v="2"/>
    <x v="0"/>
    <x v="44"/>
    <x v="5"/>
    <x v="3"/>
    <x v="2"/>
  </r>
  <r>
    <s v="TX500499"/>
    <x v="10"/>
    <x v="12"/>
    <n v="38.6"/>
    <n v="154.4"/>
    <x v="21"/>
    <d v="2025-01-23T00:00:00"/>
    <x v="1"/>
    <x v="0"/>
    <x v="2"/>
    <x v="0"/>
    <x v="22"/>
    <x v="3"/>
    <x v="3"/>
    <x v="1"/>
  </r>
  <r>
    <s v="TX500500"/>
    <x v="8"/>
    <x v="3"/>
    <n v="33.1"/>
    <n v="231.70000000000002"/>
    <x v="21"/>
    <d v="2025-01-23T00:00:00"/>
    <x v="3"/>
    <x v="4"/>
    <x v="3"/>
    <x v="0"/>
    <x v="3"/>
    <x v="3"/>
    <x v="3"/>
    <x v="3"/>
  </r>
  <r>
    <s v="TX500501"/>
    <x v="10"/>
    <x v="1"/>
    <n v="30.5"/>
    <n v="61"/>
    <x v="21"/>
    <d v="2025-01-22T00:00:00"/>
    <x v="0"/>
    <x v="1"/>
    <x v="1"/>
    <x v="0"/>
    <x v="3"/>
    <x v="7"/>
    <x v="3"/>
    <x v="0"/>
  </r>
  <r>
    <s v="TX500502"/>
    <x v="9"/>
    <x v="1"/>
    <n v="69.599999999999994"/>
    <n v="139.19999999999999"/>
    <x v="21"/>
    <d v="2025-01-23T00:00:00"/>
    <x v="1"/>
    <x v="0"/>
    <x v="1"/>
    <x v="0"/>
    <x v="3"/>
    <x v="3"/>
    <x v="3"/>
    <x v="1"/>
  </r>
  <r>
    <s v="TX500503"/>
    <x v="11"/>
    <x v="0"/>
    <n v="42.4"/>
    <n v="42.4"/>
    <x v="21"/>
    <d v="2025-01-26T00:00:00"/>
    <x v="2"/>
    <x v="1"/>
    <x v="0"/>
    <x v="0"/>
    <x v="3"/>
    <x v="5"/>
    <x v="3"/>
    <x v="2"/>
  </r>
  <r>
    <s v="TX500504"/>
    <x v="17"/>
    <x v="0"/>
    <n v="32.200000000000003"/>
    <n v="32.200000000000003"/>
    <x v="21"/>
    <d v="2025-01-25T00:00:00"/>
    <x v="2"/>
    <x v="2"/>
    <x v="1"/>
    <x v="0"/>
    <x v="3"/>
    <x v="2"/>
    <x v="3"/>
    <x v="2"/>
  </r>
  <r>
    <s v="TX500505"/>
    <x v="6"/>
    <x v="1"/>
    <n v="41.5"/>
    <n v="83"/>
    <x v="21"/>
    <d v="2025-01-25T00:00:00"/>
    <x v="2"/>
    <x v="0"/>
    <x v="2"/>
    <x v="0"/>
    <x v="3"/>
    <x v="2"/>
    <x v="3"/>
    <x v="2"/>
  </r>
  <r>
    <s v="TX500506"/>
    <x v="16"/>
    <x v="11"/>
    <n v="58.9"/>
    <n v="530.1"/>
    <x v="21"/>
    <d v="2025-01-26T00:00:00"/>
    <x v="2"/>
    <x v="3"/>
    <x v="0"/>
    <x v="0"/>
    <x v="3"/>
    <x v="5"/>
    <x v="3"/>
    <x v="2"/>
  </r>
  <r>
    <s v="TX500507"/>
    <x v="2"/>
    <x v="0"/>
    <n v="57.1"/>
    <n v="57.1"/>
    <x v="21"/>
    <d v="2025-01-25T00:00:00"/>
    <x v="2"/>
    <x v="1"/>
    <x v="0"/>
    <x v="0"/>
    <x v="3"/>
    <x v="2"/>
    <x v="3"/>
    <x v="2"/>
  </r>
  <r>
    <s v="TX500508"/>
    <x v="6"/>
    <x v="0"/>
    <n v="57.2"/>
    <n v="57.2"/>
    <x v="21"/>
    <d v="2025-01-24T00:00:00"/>
    <x v="1"/>
    <x v="1"/>
    <x v="0"/>
    <x v="0"/>
    <x v="3"/>
    <x v="1"/>
    <x v="3"/>
    <x v="1"/>
  </r>
  <r>
    <s v="TX500509"/>
    <x v="8"/>
    <x v="1"/>
    <n v="35.1"/>
    <n v="70.2"/>
    <x v="21"/>
    <d v="2025-01-23T00:00:00"/>
    <x v="1"/>
    <x v="1"/>
    <x v="0"/>
    <x v="0"/>
    <x v="6"/>
    <x v="3"/>
    <x v="3"/>
    <x v="1"/>
  </r>
  <r>
    <s v="TX500510"/>
    <x v="1"/>
    <x v="0"/>
    <n v="52.1"/>
    <n v="52.1"/>
    <x v="21"/>
    <d v="2025-01-24T00:00:00"/>
    <x v="2"/>
    <x v="4"/>
    <x v="1"/>
    <x v="0"/>
    <x v="8"/>
    <x v="1"/>
    <x v="3"/>
    <x v="2"/>
  </r>
  <r>
    <s v="TX500511"/>
    <x v="13"/>
    <x v="2"/>
    <n v="59.8"/>
    <n v="179.39999999999998"/>
    <x v="21"/>
    <d v="2025-01-24T00:00:00"/>
    <x v="2"/>
    <x v="4"/>
    <x v="1"/>
    <x v="0"/>
    <x v="8"/>
    <x v="1"/>
    <x v="3"/>
    <x v="2"/>
  </r>
  <r>
    <s v="TX500512"/>
    <x v="3"/>
    <x v="12"/>
    <n v="83.3"/>
    <n v="333.2"/>
    <x v="21"/>
    <d v="2025-01-22T00:00:00"/>
    <x v="0"/>
    <x v="2"/>
    <x v="0"/>
    <x v="0"/>
    <x v="8"/>
    <x v="7"/>
    <x v="3"/>
    <x v="0"/>
  </r>
  <r>
    <s v="TX500513"/>
    <x v="15"/>
    <x v="4"/>
    <n v="41.3"/>
    <n v="495.59999999999997"/>
    <x v="21"/>
    <d v="2025-01-23T00:00:00"/>
    <x v="2"/>
    <x v="1"/>
    <x v="0"/>
    <x v="0"/>
    <x v="8"/>
    <x v="3"/>
    <x v="3"/>
    <x v="2"/>
  </r>
  <r>
    <s v="TX500514"/>
    <x v="8"/>
    <x v="9"/>
    <n v="16"/>
    <n v="80"/>
    <x v="21"/>
    <d v="2025-01-24T00:00:00"/>
    <x v="1"/>
    <x v="4"/>
    <x v="1"/>
    <x v="0"/>
    <x v="9"/>
    <x v="1"/>
    <x v="3"/>
    <x v="1"/>
  </r>
  <r>
    <s v="TX500515"/>
    <x v="10"/>
    <x v="1"/>
    <n v="20.8"/>
    <n v="41.6"/>
    <x v="22"/>
    <d v="2025-01-25T00:00:00"/>
    <x v="1"/>
    <x v="0"/>
    <x v="2"/>
    <x v="0"/>
    <x v="11"/>
    <x v="1"/>
    <x v="3"/>
    <x v="1"/>
  </r>
  <r>
    <s v="TX500516"/>
    <x v="8"/>
    <x v="31"/>
    <n v="27.1"/>
    <n v="758.80000000000007"/>
    <x v="22"/>
    <d v="2025-01-24T00:00:00"/>
    <x v="0"/>
    <x v="3"/>
    <x v="2"/>
    <x v="0"/>
    <x v="11"/>
    <x v="3"/>
    <x v="3"/>
    <x v="0"/>
  </r>
  <r>
    <s v="TX500517"/>
    <x v="10"/>
    <x v="1"/>
    <n v="38.9"/>
    <n v="77.8"/>
    <x v="22"/>
    <d v="2025-01-25T00:00:00"/>
    <x v="2"/>
    <x v="0"/>
    <x v="0"/>
    <x v="0"/>
    <x v="18"/>
    <x v="1"/>
    <x v="3"/>
    <x v="2"/>
  </r>
  <r>
    <s v="TX500518"/>
    <x v="0"/>
    <x v="1"/>
    <n v="10.8"/>
    <n v="21.6"/>
    <x v="22"/>
    <d v="2025-01-26T00:00:00"/>
    <x v="2"/>
    <x v="1"/>
    <x v="2"/>
    <x v="0"/>
    <x v="45"/>
    <x v="2"/>
    <x v="3"/>
    <x v="2"/>
  </r>
  <r>
    <s v="TX500519"/>
    <x v="4"/>
    <x v="15"/>
    <n v="48.4"/>
    <n v="629.19999999999993"/>
    <x v="22"/>
    <d v="2025-01-27T00:00:00"/>
    <x v="2"/>
    <x v="0"/>
    <x v="0"/>
    <x v="0"/>
    <x v="21"/>
    <x v="5"/>
    <x v="3"/>
    <x v="2"/>
  </r>
  <r>
    <s v="TX500520"/>
    <x v="4"/>
    <x v="2"/>
    <n v="29.2"/>
    <n v="87.6"/>
    <x v="22"/>
    <d v="2025-01-26T00:00:00"/>
    <x v="2"/>
    <x v="1"/>
    <x v="1"/>
    <x v="0"/>
    <x v="2"/>
    <x v="2"/>
    <x v="3"/>
    <x v="2"/>
  </r>
  <r>
    <s v="TX500521"/>
    <x v="4"/>
    <x v="1"/>
    <n v="25.1"/>
    <n v="50.2"/>
    <x v="22"/>
    <d v="2025-01-24T00:00:00"/>
    <x v="1"/>
    <x v="0"/>
    <x v="1"/>
    <x v="0"/>
    <x v="2"/>
    <x v="3"/>
    <x v="3"/>
    <x v="1"/>
  </r>
  <r>
    <s v="TX500522"/>
    <x v="7"/>
    <x v="2"/>
    <n v="65.599999999999994"/>
    <n v="196.79999999999998"/>
    <x v="22"/>
    <d v="2025-01-23T00:00:00"/>
    <x v="2"/>
    <x v="2"/>
    <x v="1"/>
    <x v="0"/>
    <x v="3"/>
    <x v="7"/>
    <x v="3"/>
    <x v="2"/>
  </r>
  <r>
    <s v="TX500523"/>
    <x v="2"/>
    <x v="1"/>
    <n v="57.3"/>
    <n v="114.6"/>
    <x v="22"/>
    <d v="2025-01-23T00:00:00"/>
    <x v="0"/>
    <x v="0"/>
    <x v="0"/>
    <x v="0"/>
    <x v="3"/>
    <x v="7"/>
    <x v="3"/>
    <x v="0"/>
  </r>
  <r>
    <s v="TX500524"/>
    <x v="9"/>
    <x v="12"/>
    <n v="22.4"/>
    <n v="89.6"/>
    <x v="22"/>
    <d v="2025-01-24T00:00:00"/>
    <x v="2"/>
    <x v="2"/>
    <x v="2"/>
    <x v="0"/>
    <x v="3"/>
    <x v="3"/>
    <x v="3"/>
    <x v="2"/>
  </r>
  <r>
    <s v="TX500525"/>
    <x v="12"/>
    <x v="11"/>
    <n v="45.7"/>
    <n v="411.3"/>
    <x v="22"/>
    <d v="2025-01-24T00:00:00"/>
    <x v="2"/>
    <x v="0"/>
    <x v="0"/>
    <x v="0"/>
    <x v="3"/>
    <x v="3"/>
    <x v="3"/>
    <x v="2"/>
  </r>
  <r>
    <s v="TX500526"/>
    <x v="8"/>
    <x v="1"/>
    <n v="29.3"/>
    <n v="58.6"/>
    <x v="22"/>
    <d v="2025-01-24T00:00:00"/>
    <x v="1"/>
    <x v="1"/>
    <x v="0"/>
    <x v="0"/>
    <x v="3"/>
    <x v="3"/>
    <x v="3"/>
    <x v="1"/>
  </r>
  <r>
    <s v="TX500527"/>
    <x v="18"/>
    <x v="32"/>
    <n v="74"/>
    <n v="1628"/>
    <x v="22"/>
    <d v="2025-01-24T00:00:00"/>
    <x v="1"/>
    <x v="0"/>
    <x v="2"/>
    <x v="0"/>
    <x v="3"/>
    <x v="3"/>
    <x v="3"/>
    <x v="1"/>
  </r>
  <r>
    <s v="TX500528"/>
    <x v="14"/>
    <x v="1"/>
    <n v="39.200000000000003"/>
    <n v="78.400000000000006"/>
    <x v="22"/>
    <d v="2025-01-25T00:00:00"/>
    <x v="2"/>
    <x v="1"/>
    <x v="0"/>
    <x v="0"/>
    <x v="3"/>
    <x v="1"/>
    <x v="3"/>
    <x v="2"/>
  </r>
  <r>
    <s v="TX500529"/>
    <x v="4"/>
    <x v="14"/>
    <n v="62.7"/>
    <n v="1065.9000000000001"/>
    <x v="22"/>
    <d v="2025-01-24T00:00:00"/>
    <x v="2"/>
    <x v="2"/>
    <x v="1"/>
    <x v="0"/>
    <x v="3"/>
    <x v="3"/>
    <x v="3"/>
    <x v="2"/>
  </r>
  <r>
    <s v="TX500530"/>
    <x v="10"/>
    <x v="1"/>
    <n v="60.1"/>
    <n v="120.2"/>
    <x v="22"/>
    <d v="2025-01-24T00:00:00"/>
    <x v="2"/>
    <x v="3"/>
    <x v="0"/>
    <x v="0"/>
    <x v="3"/>
    <x v="3"/>
    <x v="3"/>
    <x v="2"/>
  </r>
  <r>
    <s v="TX500531"/>
    <x v="0"/>
    <x v="12"/>
    <n v="11.2"/>
    <n v="44.8"/>
    <x v="22"/>
    <d v="2025-01-24T00:00:00"/>
    <x v="2"/>
    <x v="3"/>
    <x v="1"/>
    <x v="0"/>
    <x v="3"/>
    <x v="3"/>
    <x v="3"/>
    <x v="2"/>
  </r>
  <r>
    <s v="TX500532"/>
    <x v="8"/>
    <x v="1"/>
    <n v="22.9"/>
    <n v="45.8"/>
    <x v="22"/>
    <d v="2025-01-24T00:00:00"/>
    <x v="2"/>
    <x v="0"/>
    <x v="0"/>
    <x v="0"/>
    <x v="6"/>
    <x v="3"/>
    <x v="3"/>
    <x v="2"/>
  </r>
  <r>
    <s v="TX500533"/>
    <x v="1"/>
    <x v="1"/>
    <n v="37.6"/>
    <n v="75.2"/>
    <x v="22"/>
    <d v="2025-01-26T00:00:00"/>
    <x v="2"/>
    <x v="0"/>
    <x v="0"/>
    <x v="0"/>
    <x v="6"/>
    <x v="2"/>
    <x v="3"/>
    <x v="2"/>
  </r>
  <r>
    <s v="TX500534"/>
    <x v="6"/>
    <x v="0"/>
    <n v="42.4"/>
    <n v="42.4"/>
    <x v="22"/>
    <d v="2025-01-24T00:00:00"/>
    <x v="2"/>
    <x v="3"/>
    <x v="2"/>
    <x v="0"/>
    <x v="6"/>
    <x v="3"/>
    <x v="3"/>
    <x v="2"/>
  </r>
  <r>
    <s v="TX500535"/>
    <x v="8"/>
    <x v="1"/>
    <n v="19.600000000000001"/>
    <n v="39.200000000000003"/>
    <x v="22"/>
    <d v="2025-01-27T00:00:00"/>
    <x v="2"/>
    <x v="2"/>
    <x v="0"/>
    <x v="0"/>
    <x v="7"/>
    <x v="5"/>
    <x v="3"/>
    <x v="2"/>
  </r>
  <r>
    <s v="TX500536"/>
    <x v="9"/>
    <x v="0"/>
    <n v="90.5"/>
    <n v="90.5"/>
    <x v="22"/>
    <d v="2025-01-26T00:00:00"/>
    <x v="2"/>
    <x v="2"/>
    <x v="0"/>
    <x v="0"/>
    <x v="7"/>
    <x v="2"/>
    <x v="3"/>
    <x v="2"/>
  </r>
  <r>
    <s v="TX500537"/>
    <x v="16"/>
    <x v="5"/>
    <n v="33.9"/>
    <n v="372.9"/>
    <x v="22"/>
    <d v="2025-01-24T00:00:00"/>
    <x v="1"/>
    <x v="2"/>
    <x v="1"/>
    <x v="0"/>
    <x v="7"/>
    <x v="3"/>
    <x v="3"/>
    <x v="1"/>
  </r>
  <r>
    <s v="TX500538"/>
    <x v="0"/>
    <x v="1"/>
    <n v="32.799999999999997"/>
    <n v="65.599999999999994"/>
    <x v="22"/>
    <d v="2025-01-25T00:00:00"/>
    <x v="2"/>
    <x v="4"/>
    <x v="4"/>
    <x v="0"/>
    <x v="8"/>
    <x v="1"/>
    <x v="3"/>
    <x v="2"/>
  </r>
  <r>
    <s v="TX500539"/>
    <x v="15"/>
    <x v="0"/>
    <n v="49.9"/>
    <n v="49.9"/>
    <x v="22"/>
    <d v="2025-01-24T00:00:00"/>
    <x v="1"/>
    <x v="3"/>
    <x v="1"/>
    <x v="0"/>
    <x v="8"/>
    <x v="3"/>
    <x v="3"/>
    <x v="1"/>
  </r>
  <r>
    <s v="TX500540"/>
    <x v="7"/>
    <x v="9"/>
    <n v="79.2"/>
    <n v="396"/>
    <x v="22"/>
    <d v="2025-01-24T00:00:00"/>
    <x v="2"/>
    <x v="4"/>
    <x v="0"/>
    <x v="0"/>
    <x v="8"/>
    <x v="3"/>
    <x v="3"/>
    <x v="2"/>
  </r>
  <r>
    <s v="TX500541"/>
    <x v="8"/>
    <x v="27"/>
    <n v="19.5"/>
    <n v="312"/>
    <x v="22"/>
    <d v="2025-01-25T00:00:00"/>
    <x v="1"/>
    <x v="3"/>
    <x v="2"/>
    <x v="0"/>
    <x v="8"/>
    <x v="1"/>
    <x v="3"/>
    <x v="1"/>
  </r>
  <r>
    <s v="TX500542"/>
    <x v="8"/>
    <x v="12"/>
    <n v="18"/>
    <n v="72"/>
    <x v="22"/>
    <d v="2025-01-24T00:00:00"/>
    <x v="1"/>
    <x v="1"/>
    <x v="0"/>
    <x v="0"/>
    <x v="10"/>
    <x v="3"/>
    <x v="3"/>
    <x v="1"/>
  </r>
  <r>
    <s v="TX500543"/>
    <x v="9"/>
    <x v="2"/>
    <n v="45.9"/>
    <n v="137.69999999999999"/>
    <x v="22"/>
    <d v="2025-01-25T00:00:00"/>
    <x v="2"/>
    <x v="1"/>
    <x v="1"/>
    <x v="0"/>
    <x v="10"/>
    <x v="1"/>
    <x v="3"/>
    <x v="2"/>
  </r>
  <r>
    <s v="TX500544"/>
    <x v="11"/>
    <x v="0"/>
    <n v="41.2"/>
    <n v="41.2"/>
    <x v="22"/>
    <d v="2025-01-25T00:00:00"/>
    <x v="2"/>
    <x v="1"/>
    <x v="2"/>
    <x v="0"/>
    <x v="11"/>
    <x v="1"/>
    <x v="3"/>
    <x v="2"/>
  </r>
  <r>
    <s v="TX500545"/>
    <x v="2"/>
    <x v="7"/>
    <n v="167.2"/>
    <n v="1672"/>
    <x v="22"/>
    <d v="2025-01-25T00:00:00"/>
    <x v="2"/>
    <x v="2"/>
    <x v="2"/>
    <x v="0"/>
    <x v="32"/>
    <x v="1"/>
    <x v="3"/>
    <x v="2"/>
  </r>
  <r>
    <s v="TX500546"/>
    <x v="6"/>
    <x v="17"/>
    <n v="74.5"/>
    <n v="2235"/>
    <x v="23"/>
    <d v="2025-01-27T00:00:00"/>
    <x v="2"/>
    <x v="1"/>
    <x v="2"/>
    <x v="0"/>
    <x v="38"/>
    <x v="2"/>
    <x v="3"/>
    <x v="2"/>
  </r>
  <r>
    <s v="TX500547"/>
    <x v="7"/>
    <x v="12"/>
    <n v="39.299999999999997"/>
    <n v="157.19999999999999"/>
    <x v="23"/>
    <d v="2025-01-25T00:00:00"/>
    <x v="0"/>
    <x v="2"/>
    <x v="0"/>
    <x v="0"/>
    <x v="19"/>
    <x v="3"/>
    <x v="3"/>
    <x v="0"/>
  </r>
  <r>
    <s v="TX500548"/>
    <x v="9"/>
    <x v="0"/>
    <n v="68.5"/>
    <n v="68.5"/>
    <x v="23"/>
    <d v="2025-01-27T00:00:00"/>
    <x v="1"/>
    <x v="1"/>
    <x v="2"/>
    <x v="0"/>
    <x v="12"/>
    <x v="2"/>
    <x v="3"/>
    <x v="1"/>
  </r>
  <r>
    <s v="TX500549"/>
    <x v="0"/>
    <x v="2"/>
    <n v="22.5"/>
    <n v="67.5"/>
    <x v="23"/>
    <d v="2025-01-24T00:00:00"/>
    <x v="2"/>
    <x v="4"/>
    <x v="0"/>
    <x v="0"/>
    <x v="13"/>
    <x v="7"/>
    <x v="3"/>
    <x v="2"/>
  </r>
  <r>
    <s v="TX500550"/>
    <x v="1"/>
    <x v="0"/>
    <n v="48"/>
    <n v="48"/>
    <x v="23"/>
    <d v="2025-01-25T00:00:00"/>
    <x v="3"/>
    <x v="4"/>
    <x v="1"/>
    <x v="0"/>
    <x v="46"/>
    <x v="3"/>
    <x v="3"/>
    <x v="3"/>
  </r>
  <r>
    <s v="TX500551"/>
    <x v="6"/>
    <x v="0"/>
    <n v="94"/>
    <n v="94"/>
    <x v="23"/>
    <d v="2025-01-25T00:00:00"/>
    <x v="1"/>
    <x v="3"/>
    <x v="1"/>
    <x v="0"/>
    <x v="1"/>
    <x v="3"/>
    <x v="3"/>
    <x v="1"/>
  </r>
  <r>
    <s v="TX500552"/>
    <x v="8"/>
    <x v="2"/>
    <n v="21.9"/>
    <n v="65.699999999999989"/>
    <x v="23"/>
    <d v="2025-01-25T00:00:00"/>
    <x v="2"/>
    <x v="0"/>
    <x v="0"/>
    <x v="0"/>
    <x v="44"/>
    <x v="3"/>
    <x v="3"/>
    <x v="2"/>
  </r>
  <r>
    <s v="TX500553"/>
    <x v="6"/>
    <x v="3"/>
    <n v="64.900000000000006"/>
    <n v="454.30000000000007"/>
    <x v="23"/>
    <d v="2025-01-25T00:00:00"/>
    <x v="2"/>
    <x v="0"/>
    <x v="0"/>
    <x v="0"/>
    <x v="3"/>
    <x v="3"/>
    <x v="3"/>
    <x v="2"/>
  </r>
  <r>
    <s v="TX500554"/>
    <x v="12"/>
    <x v="0"/>
    <n v="52.9"/>
    <n v="52.9"/>
    <x v="23"/>
    <d v="2025-01-24T00:00:00"/>
    <x v="2"/>
    <x v="1"/>
    <x v="1"/>
    <x v="0"/>
    <x v="3"/>
    <x v="7"/>
    <x v="3"/>
    <x v="2"/>
  </r>
  <r>
    <s v="TX500555"/>
    <x v="8"/>
    <x v="2"/>
    <n v="25.5"/>
    <n v="76.5"/>
    <x v="23"/>
    <d v="2025-01-25T00:00:00"/>
    <x v="2"/>
    <x v="1"/>
    <x v="2"/>
    <x v="0"/>
    <x v="3"/>
    <x v="3"/>
    <x v="3"/>
    <x v="2"/>
  </r>
  <r>
    <s v="TX500556"/>
    <x v="6"/>
    <x v="2"/>
    <n v="51.9"/>
    <n v="155.69999999999999"/>
    <x v="23"/>
    <d v="2025-01-25T00:00:00"/>
    <x v="2"/>
    <x v="3"/>
    <x v="0"/>
    <x v="0"/>
    <x v="3"/>
    <x v="3"/>
    <x v="3"/>
    <x v="2"/>
  </r>
  <r>
    <s v="TX500557"/>
    <x v="5"/>
    <x v="0"/>
    <n v="46.3"/>
    <n v="46.3"/>
    <x v="23"/>
    <d v="2025-01-27T00:00:00"/>
    <x v="2"/>
    <x v="4"/>
    <x v="0"/>
    <x v="0"/>
    <x v="3"/>
    <x v="2"/>
    <x v="3"/>
    <x v="2"/>
  </r>
  <r>
    <s v="TX500558"/>
    <x v="6"/>
    <x v="1"/>
    <n v="68.2"/>
    <n v="136.4"/>
    <x v="23"/>
    <d v="2025-01-26T00:00:00"/>
    <x v="2"/>
    <x v="3"/>
    <x v="0"/>
    <x v="0"/>
    <x v="3"/>
    <x v="1"/>
    <x v="3"/>
    <x v="2"/>
  </r>
  <r>
    <s v="TX500559"/>
    <x v="1"/>
    <x v="0"/>
    <n v="40.299999999999997"/>
    <n v="40.299999999999997"/>
    <x v="23"/>
    <d v="2025-01-25T00:00:00"/>
    <x v="1"/>
    <x v="0"/>
    <x v="1"/>
    <x v="0"/>
    <x v="3"/>
    <x v="3"/>
    <x v="3"/>
    <x v="1"/>
  </r>
  <r>
    <s v="TX500560"/>
    <x v="2"/>
    <x v="2"/>
    <n v="91.3"/>
    <n v="273.89999999999998"/>
    <x v="23"/>
    <d v="2025-01-29T00:00:00"/>
    <x v="1"/>
    <x v="0"/>
    <x v="2"/>
    <x v="0"/>
    <x v="6"/>
    <x v="0"/>
    <x v="3"/>
    <x v="1"/>
  </r>
  <r>
    <s v="TX500561"/>
    <x v="0"/>
    <x v="2"/>
    <n v="11.9"/>
    <n v="35.700000000000003"/>
    <x v="23"/>
    <d v="2025-01-25T00:00:00"/>
    <x v="2"/>
    <x v="0"/>
    <x v="1"/>
    <x v="0"/>
    <x v="6"/>
    <x v="3"/>
    <x v="3"/>
    <x v="2"/>
  </r>
  <r>
    <s v="TX500562"/>
    <x v="2"/>
    <x v="1"/>
    <n v="63.5"/>
    <n v="127"/>
    <x v="23"/>
    <d v="2025-01-26T00:00:00"/>
    <x v="1"/>
    <x v="1"/>
    <x v="0"/>
    <x v="0"/>
    <x v="6"/>
    <x v="1"/>
    <x v="3"/>
    <x v="1"/>
  </r>
  <r>
    <s v="TX500563"/>
    <x v="4"/>
    <x v="1"/>
    <n v="27.1"/>
    <n v="54.2"/>
    <x v="23"/>
    <d v="2025-01-27T00:00:00"/>
    <x v="1"/>
    <x v="2"/>
    <x v="2"/>
    <x v="0"/>
    <x v="6"/>
    <x v="2"/>
    <x v="3"/>
    <x v="1"/>
  </r>
  <r>
    <s v="TX500564"/>
    <x v="1"/>
    <x v="1"/>
    <n v="82.1"/>
    <n v="164.2"/>
    <x v="24"/>
    <d v="2025-01-28T00:00:00"/>
    <x v="1"/>
    <x v="1"/>
    <x v="1"/>
    <x v="0"/>
    <x v="7"/>
    <x v="2"/>
    <x v="3"/>
    <x v="1"/>
  </r>
  <r>
    <s v="TX500565"/>
    <x v="3"/>
    <x v="9"/>
    <n v="42.9"/>
    <n v="214.5"/>
    <x v="24"/>
    <d v="2025-01-27T00:00:00"/>
    <x v="2"/>
    <x v="1"/>
    <x v="0"/>
    <x v="0"/>
    <x v="8"/>
    <x v="1"/>
    <x v="3"/>
    <x v="2"/>
  </r>
  <r>
    <s v="TX500566"/>
    <x v="8"/>
    <x v="5"/>
    <n v="37.9"/>
    <n v="416.9"/>
    <x v="24"/>
    <d v="2025-02-01T00:00:00"/>
    <x v="1"/>
    <x v="0"/>
    <x v="0"/>
    <x v="0"/>
    <x v="8"/>
    <x v="6"/>
    <x v="3"/>
    <x v="1"/>
  </r>
  <r>
    <s v="TX500567"/>
    <x v="0"/>
    <x v="0"/>
    <n v="22.4"/>
    <n v="22.4"/>
    <x v="24"/>
    <d v="2025-01-26T00:00:00"/>
    <x v="2"/>
    <x v="0"/>
    <x v="1"/>
    <x v="0"/>
    <x v="17"/>
    <x v="3"/>
    <x v="3"/>
    <x v="2"/>
  </r>
  <r>
    <s v="TX500568"/>
    <x v="2"/>
    <x v="15"/>
    <n v="79.900000000000006"/>
    <n v="1038.7"/>
    <x v="24"/>
    <d v="2025-02-07T00:00:00"/>
    <x v="2"/>
    <x v="3"/>
    <x v="1"/>
    <x v="0"/>
    <x v="11"/>
    <x v="10"/>
    <x v="3"/>
    <x v="2"/>
  </r>
  <r>
    <s v="TX500569"/>
    <x v="1"/>
    <x v="0"/>
    <n v="70.599999999999994"/>
    <n v="70.599999999999994"/>
    <x v="24"/>
    <d v="2025-01-28T00:00:00"/>
    <x v="2"/>
    <x v="0"/>
    <x v="1"/>
    <x v="0"/>
    <x v="11"/>
    <x v="2"/>
    <x v="3"/>
    <x v="2"/>
  </r>
  <r>
    <s v="TX500570"/>
    <x v="6"/>
    <x v="0"/>
    <n v="49.5"/>
    <n v="49.5"/>
    <x v="24"/>
    <d v="2025-01-27T00:00:00"/>
    <x v="1"/>
    <x v="0"/>
    <x v="0"/>
    <x v="0"/>
    <x v="13"/>
    <x v="1"/>
    <x v="3"/>
    <x v="1"/>
  </r>
  <r>
    <s v="TX500571"/>
    <x v="2"/>
    <x v="1"/>
    <n v="96.6"/>
    <n v="193.2"/>
    <x v="24"/>
    <d v="2025-01-27T00:00:00"/>
    <x v="1"/>
    <x v="0"/>
    <x v="0"/>
    <x v="0"/>
    <x v="21"/>
    <x v="1"/>
    <x v="3"/>
    <x v="1"/>
  </r>
  <r>
    <s v="TX500572"/>
    <x v="6"/>
    <x v="1"/>
    <n v="52.8"/>
    <n v="105.6"/>
    <x v="24"/>
    <d v="2025-01-26T00:00:00"/>
    <x v="2"/>
    <x v="1"/>
    <x v="1"/>
    <x v="0"/>
    <x v="21"/>
    <x v="3"/>
    <x v="3"/>
    <x v="2"/>
  </r>
  <r>
    <s v="TX500573"/>
    <x v="2"/>
    <x v="0"/>
    <n v="101.7"/>
    <n v="101.7"/>
    <x v="24"/>
    <d v="2025-01-26T00:00:00"/>
    <x v="1"/>
    <x v="0"/>
    <x v="0"/>
    <x v="0"/>
    <x v="1"/>
    <x v="3"/>
    <x v="3"/>
    <x v="1"/>
  </r>
  <r>
    <s v="TX500574"/>
    <x v="4"/>
    <x v="9"/>
    <n v="26.9"/>
    <n v="134.5"/>
    <x v="24"/>
    <d v="2025-01-30T00:00:00"/>
    <x v="2"/>
    <x v="1"/>
    <x v="1"/>
    <x v="0"/>
    <x v="22"/>
    <x v="0"/>
    <x v="3"/>
    <x v="2"/>
  </r>
  <r>
    <s v="TX500575"/>
    <x v="2"/>
    <x v="12"/>
    <n v="211"/>
    <n v="844"/>
    <x v="24"/>
    <d v="2025-01-25T00:00:00"/>
    <x v="2"/>
    <x v="1"/>
    <x v="1"/>
    <x v="0"/>
    <x v="3"/>
    <x v="7"/>
    <x v="3"/>
    <x v="2"/>
  </r>
  <r>
    <s v="TX500576"/>
    <x v="0"/>
    <x v="12"/>
    <n v="21.1"/>
    <n v="84.4"/>
    <x v="24"/>
    <d v="2025-01-28T00:00:00"/>
    <x v="1"/>
    <x v="4"/>
    <x v="0"/>
    <x v="0"/>
    <x v="3"/>
    <x v="2"/>
    <x v="3"/>
    <x v="1"/>
  </r>
  <r>
    <s v="TX500577"/>
    <x v="10"/>
    <x v="0"/>
    <n v="26.6"/>
    <n v="26.6"/>
    <x v="24"/>
    <d v="2025-01-27T00:00:00"/>
    <x v="1"/>
    <x v="0"/>
    <x v="4"/>
    <x v="0"/>
    <x v="3"/>
    <x v="1"/>
    <x v="3"/>
    <x v="1"/>
  </r>
  <r>
    <s v="TX500578"/>
    <x v="12"/>
    <x v="12"/>
    <n v="51.2"/>
    <n v="204.8"/>
    <x v="24"/>
    <d v="2025-01-26T00:00:00"/>
    <x v="2"/>
    <x v="3"/>
    <x v="0"/>
    <x v="0"/>
    <x v="47"/>
    <x v="3"/>
    <x v="3"/>
    <x v="2"/>
  </r>
  <r>
    <s v="TX500579"/>
    <x v="0"/>
    <x v="9"/>
    <n v="10.6"/>
    <n v="53"/>
    <x v="24"/>
    <d v="2025-01-29T00:00:00"/>
    <x v="2"/>
    <x v="0"/>
    <x v="0"/>
    <x v="0"/>
    <x v="8"/>
    <x v="5"/>
    <x v="3"/>
    <x v="2"/>
  </r>
  <r>
    <s v="TX500580"/>
    <x v="6"/>
    <x v="2"/>
    <n v="43.4"/>
    <n v="130.19999999999999"/>
    <x v="24"/>
    <d v="2025-01-28T00:00:00"/>
    <x v="2"/>
    <x v="4"/>
    <x v="0"/>
    <x v="0"/>
    <x v="8"/>
    <x v="2"/>
    <x v="3"/>
    <x v="2"/>
  </r>
  <r>
    <s v="TX500581"/>
    <x v="12"/>
    <x v="0"/>
    <n v="80"/>
    <n v="80"/>
    <x v="24"/>
    <d v="2025-01-25T00:00:00"/>
    <x v="2"/>
    <x v="0"/>
    <x v="2"/>
    <x v="0"/>
    <x v="8"/>
    <x v="7"/>
    <x v="3"/>
    <x v="2"/>
  </r>
  <r>
    <s v="TX500582"/>
    <x v="10"/>
    <x v="12"/>
    <n v="64.7"/>
    <n v="258.8"/>
    <x v="24"/>
    <d v="2025-01-27T00:00:00"/>
    <x v="2"/>
    <x v="1"/>
    <x v="4"/>
    <x v="0"/>
    <x v="8"/>
    <x v="1"/>
    <x v="3"/>
    <x v="2"/>
  </r>
  <r>
    <s v="TX500583"/>
    <x v="8"/>
    <x v="5"/>
    <n v="26.3"/>
    <n v="289.3"/>
    <x v="25"/>
    <d v="2025-01-26T00:00:00"/>
    <x v="2"/>
    <x v="4"/>
    <x v="1"/>
    <x v="0"/>
    <x v="26"/>
    <x v="7"/>
    <x v="4"/>
    <x v="2"/>
  </r>
  <r>
    <s v="TX500584"/>
    <x v="10"/>
    <x v="0"/>
    <n v="28.5"/>
    <n v="28.5"/>
    <x v="25"/>
    <d v="2025-01-26T00:00:00"/>
    <x v="1"/>
    <x v="0"/>
    <x v="1"/>
    <x v="0"/>
    <x v="9"/>
    <x v="7"/>
    <x v="4"/>
    <x v="1"/>
  </r>
  <r>
    <s v="TX500585"/>
    <x v="17"/>
    <x v="0"/>
    <n v="47.8"/>
    <n v="47.8"/>
    <x v="25"/>
    <d v="2025-01-28T00:00:00"/>
    <x v="2"/>
    <x v="0"/>
    <x v="1"/>
    <x v="0"/>
    <x v="9"/>
    <x v="1"/>
    <x v="4"/>
    <x v="2"/>
  </r>
  <r>
    <s v="TX500586"/>
    <x v="10"/>
    <x v="2"/>
    <n v="42.8"/>
    <n v="128.39999999999998"/>
    <x v="25"/>
    <d v="2025-01-29T00:00:00"/>
    <x v="2"/>
    <x v="4"/>
    <x v="1"/>
    <x v="0"/>
    <x v="11"/>
    <x v="2"/>
    <x v="4"/>
    <x v="2"/>
  </r>
  <r>
    <s v="TX500587"/>
    <x v="6"/>
    <x v="9"/>
    <n v="46.8"/>
    <n v="234"/>
    <x v="25"/>
    <d v="2025-01-31T00:00:00"/>
    <x v="2"/>
    <x v="1"/>
    <x v="2"/>
    <x v="0"/>
    <x v="11"/>
    <x v="0"/>
    <x v="4"/>
    <x v="2"/>
  </r>
  <r>
    <s v="TX500588"/>
    <x v="1"/>
    <x v="7"/>
    <n v="64.099999999999994"/>
    <n v="641"/>
    <x v="25"/>
    <d v="2025-01-27T00:00:00"/>
    <x v="1"/>
    <x v="1"/>
    <x v="0"/>
    <x v="0"/>
    <x v="11"/>
    <x v="3"/>
    <x v="4"/>
    <x v="1"/>
  </r>
  <r>
    <s v="TX500589"/>
    <x v="2"/>
    <x v="0"/>
    <n v="89.1"/>
    <n v="89.1"/>
    <x v="25"/>
    <d v="2025-01-27T00:00:00"/>
    <x v="2"/>
    <x v="0"/>
    <x v="1"/>
    <x v="0"/>
    <x v="20"/>
    <x v="3"/>
    <x v="4"/>
    <x v="2"/>
  </r>
  <r>
    <s v="TX500590"/>
    <x v="2"/>
    <x v="2"/>
    <n v="83.1"/>
    <n v="249.29999999999998"/>
    <x v="25"/>
    <d v="2025-01-27T00:00:00"/>
    <x v="2"/>
    <x v="2"/>
    <x v="1"/>
    <x v="0"/>
    <x v="13"/>
    <x v="3"/>
    <x v="4"/>
    <x v="2"/>
  </r>
  <r>
    <s v="TX500591"/>
    <x v="8"/>
    <x v="2"/>
    <n v="40.9"/>
    <n v="122.69999999999999"/>
    <x v="25"/>
    <d v="2025-01-27T00:00:00"/>
    <x v="1"/>
    <x v="0"/>
    <x v="0"/>
    <x v="0"/>
    <x v="1"/>
    <x v="3"/>
    <x v="4"/>
    <x v="1"/>
  </r>
  <r>
    <s v="TX500592"/>
    <x v="2"/>
    <x v="1"/>
    <n v="125.7"/>
    <n v="251.4"/>
    <x v="25"/>
    <d v="2025-01-27T00:00:00"/>
    <x v="2"/>
    <x v="3"/>
    <x v="0"/>
    <x v="0"/>
    <x v="2"/>
    <x v="3"/>
    <x v="4"/>
    <x v="2"/>
  </r>
  <r>
    <s v="TX500593"/>
    <x v="3"/>
    <x v="1"/>
    <n v="30.9"/>
    <n v="61.8"/>
    <x v="25"/>
    <d v="2025-01-26T00:00:00"/>
    <x v="2"/>
    <x v="2"/>
    <x v="2"/>
    <x v="0"/>
    <x v="22"/>
    <x v="7"/>
    <x v="4"/>
    <x v="2"/>
  </r>
  <r>
    <s v="TX500594"/>
    <x v="8"/>
    <x v="1"/>
    <n v="18.3"/>
    <n v="36.6"/>
    <x v="25"/>
    <d v="2025-01-27T00:00:00"/>
    <x v="2"/>
    <x v="1"/>
    <x v="0"/>
    <x v="0"/>
    <x v="3"/>
    <x v="3"/>
    <x v="4"/>
    <x v="2"/>
  </r>
  <r>
    <s v="TX500595"/>
    <x v="4"/>
    <x v="1"/>
    <n v="56.5"/>
    <n v="113"/>
    <x v="25"/>
    <d v="2025-01-30T00:00:00"/>
    <x v="1"/>
    <x v="2"/>
    <x v="2"/>
    <x v="0"/>
    <x v="3"/>
    <x v="5"/>
    <x v="4"/>
    <x v="1"/>
  </r>
  <r>
    <s v="TX500596"/>
    <x v="10"/>
    <x v="3"/>
    <n v="29.9"/>
    <n v="209.29999999999998"/>
    <x v="25"/>
    <d v="2025-01-28T00:00:00"/>
    <x v="1"/>
    <x v="4"/>
    <x v="2"/>
    <x v="0"/>
    <x v="3"/>
    <x v="1"/>
    <x v="4"/>
    <x v="1"/>
  </r>
  <r>
    <s v="TX500597"/>
    <x v="5"/>
    <x v="1"/>
    <n v="50.4"/>
    <n v="100.8"/>
    <x v="25"/>
    <d v="2025-01-27T00:00:00"/>
    <x v="2"/>
    <x v="2"/>
    <x v="0"/>
    <x v="0"/>
    <x v="3"/>
    <x v="3"/>
    <x v="4"/>
    <x v="2"/>
  </r>
  <r>
    <s v="TX500598"/>
    <x v="2"/>
    <x v="0"/>
    <n v="85.8"/>
    <n v="85.8"/>
    <x v="25"/>
    <d v="2025-01-26T00:00:00"/>
    <x v="2"/>
    <x v="2"/>
    <x v="2"/>
    <x v="0"/>
    <x v="3"/>
    <x v="7"/>
    <x v="4"/>
    <x v="2"/>
  </r>
  <r>
    <s v="TX500599"/>
    <x v="4"/>
    <x v="27"/>
    <n v="66.599999999999994"/>
    <n v="1065.5999999999999"/>
    <x v="25"/>
    <d v="2025-01-28T00:00:00"/>
    <x v="1"/>
    <x v="1"/>
    <x v="0"/>
    <x v="0"/>
    <x v="3"/>
    <x v="1"/>
    <x v="4"/>
    <x v="1"/>
  </r>
  <r>
    <s v="TX500600"/>
    <x v="6"/>
    <x v="12"/>
    <n v="70.3"/>
    <n v="281.2"/>
    <x v="25"/>
    <d v="2025-01-27T00:00:00"/>
    <x v="2"/>
    <x v="0"/>
    <x v="1"/>
    <x v="0"/>
    <x v="3"/>
    <x v="3"/>
    <x v="4"/>
    <x v="2"/>
  </r>
  <r>
    <s v="TX500601"/>
    <x v="8"/>
    <x v="12"/>
    <n v="31"/>
    <n v="124"/>
    <x v="25"/>
    <d v="2025-01-29T00:00:00"/>
    <x v="1"/>
    <x v="0"/>
    <x v="2"/>
    <x v="0"/>
    <x v="3"/>
    <x v="2"/>
    <x v="4"/>
    <x v="1"/>
  </r>
  <r>
    <s v="TX500602"/>
    <x v="7"/>
    <x v="13"/>
    <n v="81.599999999999994"/>
    <n v="489.59999999999997"/>
    <x v="25"/>
    <d v="2025-01-27T00:00:00"/>
    <x v="2"/>
    <x v="1"/>
    <x v="1"/>
    <x v="0"/>
    <x v="37"/>
    <x v="3"/>
    <x v="4"/>
    <x v="2"/>
  </r>
  <r>
    <s v="TX500603"/>
    <x v="1"/>
    <x v="30"/>
    <n v="58.3"/>
    <n v="1457.5"/>
    <x v="25"/>
    <d v="2025-01-27T00:00:00"/>
    <x v="2"/>
    <x v="0"/>
    <x v="0"/>
    <x v="0"/>
    <x v="16"/>
    <x v="3"/>
    <x v="4"/>
    <x v="2"/>
  </r>
  <r>
    <s v="TX500604"/>
    <x v="1"/>
    <x v="12"/>
    <n v="35.1"/>
    <n v="140.4"/>
    <x v="25"/>
    <d v="2025-01-28T00:00:00"/>
    <x v="1"/>
    <x v="0"/>
    <x v="2"/>
    <x v="0"/>
    <x v="8"/>
    <x v="1"/>
    <x v="4"/>
    <x v="1"/>
  </r>
  <r>
    <s v="TX500605"/>
    <x v="2"/>
    <x v="0"/>
    <n v="80.2"/>
    <n v="80.2"/>
    <x v="25"/>
    <d v="2025-01-27T00:00:00"/>
    <x v="1"/>
    <x v="3"/>
    <x v="2"/>
    <x v="0"/>
    <x v="8"/>
    <x v="3"/>
    <x v="4"/>
    <x v="1"/>
  </r>
  <r>
    <s v="TX500606"/>
    <x v="14"/>
    <x v="2"/>
    <n v="39.200000000000003"/>
    <n v="117.60000000000001"/>
    <x v="25"/>
    <d v="2025-01-28T00:00:00"/>
    <x v="2"/>
    <x v="1"/>
    <x v="0"/>
    <x v="0"/>
    <x v="9"/>
    <x v="1"/>
    <x v="4"/>
    <x v="2"/>
  </r>
  <r>
    <s v="TX500607"/>
    <x v="0"/>
    <x v="1"/>
    <n v="15.4"/>
    <n v="30.8"/>
    <x v="25"/>
    <d v="2025-01-26T00:00:00"/>
    <x v="2"/>
    <x v="3"/>
    <x v="0"/>
    <x v="0"/>
    <x v="48"/>
    <x v="7"/>
    <x v="4"/>
    <x v="2"/>
  </r>
  <r>
    <s v="TX500608"/>
    <x v="3"/>
    <x v="2"/>
    <n v="65.400000000000006"/>
    <n v="196.20000000000002"/>
    <x v="25"/>
    <d v="2025-01-29T00:00:00"/>
    <x v="1"/>
    <x v="3"/>
    <x v="0"/>
    <x v="0"/>
    <x v="18"/>
    <x v="2"/>
    <x v="4"/>
    <x v="1"/>
  </r>
  <r>
    <s v="TX500609"/>
    <x v="1"/>
    <x v="8"/>
    <n v="63.2"/>
    <n v="505.6"/>
    <x v="25"/>
    <d v="2025-01-28T00:00:00"/>
    <x v="2"/>
    <x v="1"/>
    <x v="0"/>
    <x v="0"/>
    <x v="19"/>
    <x v="1"/>
    <x v="4"/>
    <x v="2"/>
  </r>
  <r>
    <s v="TX500610"/>
    <x v="1"/>
    <x v="13"/>
    <n v="35.700000000000003"/>
    <n v="214.20000000000002"/>
    <x v="25"/>
    <d v="2025-01-30T00:00:00"/>
    <x v="2"/>
    <x v="4"/>
    <x v="1"/>
    <x v="0"/>
    <x v="19"/>
    <x v="5"/>
    <x v="4"/>
    <x v="2"/>
  </r>
  <r>
    <s v="TX500611"/>
    <x v="0"/>
    <x v="28"/>
    <n v="26.2"/>
    <n v="524"/>
    <x v="25"/>
    <d v="2025-01-27T00:00:00"/>
    <x v="2"/>
    <x v="3"/>
    <x v="0"/>
    <x v="0"/>
    <x v="21"/>
    <x v="3"/>
    <x v="4"/>
    <x v="2"/>
  </r>
  <r>
    <s v="TX500612"/>
    <x v="7"/>
    <x v="1"/>
    <n v="31"/>
    <n v="62"/>
    <x v="25"/>
    <d v="2025-01-27T00:00:00"/>
    <x v="2"/>
    <x v="0"/>
    <x v="2"/>
    <x v="0"/>
    <x v="1"/>
    <x v="3"/>
    <x v="4"/>
    <x v="2"/>
  </r>
  <r>
    <s v="TX500613"/>
    <x v="8"/>
    <x v="12"/>
    <n v="37.700000000000003"/>
    <n v="150.80000000000001"/>
    <x v="25"/>
    <d v="2025-01-27T00:00:00"/>
    <x v="2"/>
    <x v="1"/>
    <x v="0"/>
    <x v="0"/>
    <x v="22"/>
    <x v="3"/>
    <x v="4"/>
    <x v="2"/>
  </r>
  <r>
    <s v="TX500614"/>
    <x v="10"/>
    <x v="33"/>
    <n v="43.6"/>
    <n v="1482.4"/>
    <x v="25"/>
    <d v="2025-01-28T00:00:00"/>
    <x v="2"/>
    <x v="4"/>
    <x v="1"/>
    <x v="0"/>
    <x v="3"/>
    <x v="1"/>
    <x v="4"/>
    <x v="2"/>
  </r>
  <r>
    <s v="TX500615"/>
    <x v="9"/>
    <x v="12"/>
    <n v="26.5"/>
    <n v="106"/>
    <x v="25"/>
    <d v="2025-01-28T00:00:00"/>
    <x v="1"/>
    <x v="0"/>
    <x v="4"/>
    <x v="0"/>
    <x v="3"/>
    <x v="1"/>
    <x v="4"/>
    <x v="1"/>
  </r>
  <r>
    <s v="TX500616"/>
    <x v="0"/>
    <x v="1"/>
    <n v="34.6"/>
    <n v="69.2"/>
    <x v="25"/>
    <d v="2025-01-27T00:00:00"/>
    <x v="1"/>
    <x v="4"/>
    <x v="1"/>
    <x v="0"/>
    <x v="3"/>
    <x v="3"/>
    <x v="4"/>
    <x v="1"/>
  </r>
  <r>
    <s v="TX500617"/>
    <x v="8"/>
    <x v="1"/>
    <n v="58.2"/>
    <n v="116.4"/>
    <x v="25"/>
    <d v="2025-01-27T00:00:00"/>
    <x v="1"/>
    <x v="2"/>
    <x v="2"/>
    <x v="0"/>
    <x v="3"/>
    <x v="3"/>
    <x v="4"/>
    <x v="1"/>
  </r>
  <r>
    <s v="TX500618"/>
    <x v="7"/>
    <x v="0"/>
    <n v="30.2"/>
    <n v="30.2"/>
    <x v="26"/>
    <d v="2025-01-28T00:00:00"/>
    <x v="2"/>
    <x v="2"/>
    <x v="1"/>
    <x v="0"/>
    <x v="3"/>
    <x v="3"/>
    <x v="4"/>
    <x v="2"/>
  </r>
  <r>
    <s v="TX500619"/>
    <x v="1"/>
    <x v="7"/>
    <n v="53.2"/>
    <n v="532"/>
    <x v="26"/>
    <d v="2025-01-28T00:00:00"/>
    <x v="1"/>
    <x v="0"/>
    <x v="2"/>
    <x v="0"/>
    <x v="5"/>
    <x v="3"/>
    <x v="4"/>
    <x v="1"/>
  </r>
  <r>
    <s v="TX500620"/>
    <x v="12"/>
    <x v="13"/>
    <n v="51.1"/>
    <n v="306.60000000000002"/>
    <x v="26"/>
    <d v="2025-01-27T00:00:00"/>
    <x v="1"/>
    <x v="1"/>
    <x v="2"/>
    <x v="0"/>
    <x v="5"/>
    <x v="7"/>
    <x v="4"/>
    <x v="1"/>
  </r>
  <r>
    <s v="TX500621"/>
    <x v="1"/>
    <x v="0"/>
    <n v="105.4"/>
    <n v="105.4"/>
    <x v="26"/>
    <d v="2025-01-31T00:00:00"/>
    <x v="2"/>
    <x v="1"/>
    <x v="2"/>
    <x v="0"/>
    <x v="23"/>
    <x v="5"/>
    <x v="4"/>
    <x v="2"/>
  </r>
  <r>
    <s v="TX500622"/>
    <x v="7"/>
    <x v="0"/>
    <n v="57.7"/>
    <n v="57.7"/>
    <x v="26"/>
    <d v="2025-01-27T00:00:00"/>
    <x v="1"/>
    <x v="0"/>
    <x v="4"/>
    <x v="0"/>
    <x v="8"/>
    <x v="7"/>
    <x v="4"/>
    <x v="1"/>
  </r>
  <r>
    <s v="TX500623"/>
    <x v="15"/>
    <x v="1"/>
    <n v="72.400000000000006"/>
    <n v="144.80000000000001"/>
    <x v="26"/>
    <d v="2025-02-01T00:00:00"/>
    <x v="2"/>
    <x v="0"/>
    <x v="0"/>
    <x v="0"/>
    <x v="17"/>
    <x v="0"/>
    <x v="4"/>
    <x v="2"/>
  </r>
  <r>
    <s v="TX500624"/>
    <x v="6"/>
    <x v="1"/>
    <n v="62.5"/>
    <n v="125"/>
    <x v="26"/>
    <d v="2025-01-28T00:00:00"/>
    <x v="0"/>
    <x v="0"/>
    <x v="2"/>
    <x v="0"/>
    <x v="11"/>
    <x v="3"/>
    <x v="4"/>
    <x v="0"/>
  </r>
  <r>
    <s v="TX500625"/>
    <x v="0"/>
    <x v="32"/>
    <n v="11.6"/>
    <n v="255.2"/>
    <x v="26"/>
    <d v="2025-01-29T00:00:00"/>
    <x v="2"/>
    <x v="3"/>
    <x v="2"/>
    <x v="0"/>
    <x v="18"/>
    <x v="1"/>
    <x v="4"/>
    <x v="2"/>
  </r>
  <r>
    <s v="TX500626"/>
    <x v="10"/>
    <x v="7"/>
    <n v="39.6"/>
    <n v="396"/>
    <x v="26"/>
    <d v="2025-01-29T00:00:00"/>
    <x v="2"/>
    <x v="2"/>
    <x v="2"/>
    <x v="0"/>
    <x v="18"/>
    <x v="1"/>
    <x v="4"/>
    <x v="2"/>
  </r>
  <r>
    <s v="TX500627"/>
    <x v="8"/>
    <x v="1"/>
    <n v="40.1"/>
    <n v="80.2"/>
    <x v="26"/>
    <d v="2025-01-28T00:00:00"/>
    <x v="2"/>
    <x v="2"/>
    <x v="0"/>
    <x v="0"/>
    <x v="18"/>
    <x v="3"/>
    <x v="4"/>
    <x v="2"/>
  </r>
  <r>
    <s v="TX500628"/>
    <x v="8"/>
    <x v="2"/>
    <n v="18.600000000000001"/>
    <n v="55.800000000000004"/>
    <x v="26"/>
    <d v="2025-01-28T00:00:00"/>
    <x v="2"/>
    <x v="2"/>
    <x v="0"/>
    <x v="0"/>
    <x v="21"/>
    <x v="3"/>
    <x v="4"/>
    <x v="2"/>
  </r>
  <r>
    <s v="TX500629"/>
    <x v="4"/>
    <x v="0"/>
    <n v="58.8"/>
    <n v="58.8"/>
    <x v="26"/>
    <d v="2025-01-29T00:00:00"/>
    <x v="2"/>
    <x v="0"/>
    <x v="1"/>
    <x v="0"/>
    <x v="21"/>
    <x v="1"/>
    <x v="4"/>
    <x v="2"/>
  </r>
  <r>
    <s v="TX500630"/>
    <x v="8"/>
    <x v="1"/>
    <n v="22.1"/>
    <n v="44.2"/>
    <x v="26"/>
    <d v="2025-01-30T00:00:00"/>
    <x v="1"/>
    <x v="1"/>
    <x v="2"/>
    <x v="0"/>
    <x v="21"/>
    <x v="2"/>
    <x v="4"/>
    <x v="1"/>
  </r>
  <r>
    <s v="TX500631"/>
    <x v="2"/>
    <x v="0"/>
    <n v="114.9"/>
    <n v="114.9"/>
    <x v="27"/>
    <d v="2025-01-29T00:00:00"/>
    <x v="2"/>
    <x v="1"/>
    <x v="1"/>
    <x v="0"/>
    <x v="22"/>
    <x v="3"/>
    <x v="4"/>
    <x v="2"/>
  </r>
  <r>
    <s v="TX500632"/>
    <x v="9"/>
    <x v="9"/>
    <n v="75.8"/>
    <n v="379"/>
    <x v="27"/>
    <d v="2025-01-29T00:00:00"/>
    <x v="1"/>
    <x v="0"/>
    <x v="2"/>
    <x v="0"/>
    <x v="3"/>
    <x v="3"/>
    <x v="4"/>
    <x v="1"/>
  </r>
  <r>
    <s v="TX500633"/>
    <x v="14"/>
    <x v="9"/>
    <n v="20.6"/>
    <n v="103"/>
    <x v="27"/>
    <d v="2025-01-29T00:00:00"/>
    <x v="1"/>
    <x v="2"/>
    <x v="2"/>
    <x v="0"/>
    <x v="3"/>
    <x v="3"/>
    <x v="4"/>
    <x v="1"/>
  </r>
  <r>
    <s v="TX500634"/>
    <x v="17"/>
    <x v="2"/>
    <n v="67.900000000000006"/>
    <n v="203.70000000000002"/>
    <x v="27"/>
    <d v="2025-01-29T00:00:00"/>
    <x v="2"/>
    <x v="1"/>
    <x v="1"/>
    <x v="0"/>
    <x v="3"/>
    <x v="3"/>
    <x v="4"/>
    <x v="2"/>
  </r>
  <r>
    <s v="TX500635"/>
    <x v="0"/>
    <x v="9"/>
    <n v="27"/>
    <n v="135"/>
    <x v="27"/>
    <d v="2025-02-04T00:00:00"/>
    <x v="2"/>
    <x v="0"/>
    <x v="2"/>
    <x v="0"/>
    <x v="3"/>
    <x v="6"/>
    <x v="4"/>
    <x v="2"/>
  </r>
  <r>
    <s v="TX500636"/>
    <x v="13"/>
    <x v="0"/>
    <n v="50.6"/>
    <n v="50.6"/>
    <x v="27"/>
    <d v="2025-01-28T00:00:00"/>
    <x v="1"/>
    <x v="0"/>
    <x v="1"/>
    <x v="0"/>
    <x v="3"/>
    <x v="7"/>
    <x v="4"/>
    <x v="1"/>
  </r>
  <r>
    <s v="TX500637"/>
    <x v="4"/>
    <x v="9"/>
    <n v="22.1"/>
    <n v="110.5"/>
    <x v="27"/>
    <d v="2025-02-02T00:00:00"/>
    <x v="1"/>
    <x v="0"/>
    <x v="0"/>
    <x v="0"/>
    <x v="3"/>
    <x v="0"/>
    <x v="4"/>
    <x v="1"/>
  </r>
  <r>
    <s v="TX500638"/>
    <x v="8"/>
    <x v="2"/>
    <n v="42.9"/>
    <n v="128.69999999999999"/>
    <x v="27"/>
    <d v="2025-01-30T00:00:00"/>
    <x v="2"/>
    <x v="0"/>
    <x v="0"/>
    <x v="0"/>
    <x v="3"/>
    <x v="1"/>
    <x v="4"/>
    <x v="2"/>
  </r>
  <r>
    <s v="TX500639"/>
    <x v="1"/>
    <x v="5"/>
    <n v="62.4"/>
    <n v="686.4"/>
    <x v="27"/>
    <d v="2025-01-30T00:00:00"/>
    <x v="2"/>
    <x v="2"/>
    <x v="0"/>
    <x v="0"/>
    <x v="3"/>
    <x v="1"/>
    <x v="4"/>
    <x v="2"/>
  </r>
  <r>
    <s v="TX500640"/>
    <x v="13"/>
    <x v="11"/>
    <n v="36.4"/>
    <n v="327.59999999999997"/>
    <x v="27"/>
    <d v="2025-01-30T00:00:00"/>
    <x v="2"/>
    <x v="0"/>
    <x v="2"/>
    <x v="0"/>
    <x v="3"/>
    <x v="1"/>
    <x v="4"/>
    <x v="2"/>
  </r>
  <r>
    <s v="TX500641"/>
    <x v="0"/>
    <x v="1"/>
    <n v="22.5"/>
    <n v="45"/>
    <x v="27"/>
    <d v="2025-01-31T00:00:00"/>
    <x v="1"/>
    <x v="0"/>
    <x v="0"/>
    <x v="0"/>
    <x v="3"/>
    <x v="2"/>
    <x v="4"/>
    <x v="1"/>
  </r>
  <r>
    <s v="TX500642"/>
    <x v="6"/>
    <x v="12"/>
    <n v="70.8"/>
    <n v="283.2"/>
    <x v="27"/>
    <d v="2025-01-30T00:00:00"/>
    <x v="2"/>
    <x v="4"/>
    <x v="0"/>
    <x v="0"/>
    <x v="3"/>
    <x v="1"/>
    <x v="4"/>
    <x v="2"/>
  </r>
  <r>
    <s v="TX500643"/>
    <x v="6"/>
    <x v="9"/>
    <n v="56.6"/>
    <n v="283"/>
    <x v="27"/>
    <d v="2025-01-30T00:00:00"/>
    <x v="1"/>
    <x v="0"/>
    <x v="1"/>
    <x v="0"/>
    <x v="4"/>
    <x v="1"/>
    <x v="4"/>
    <x v="1"/>
  </r>
  <r>
    <s v="TX500644"/>
    <x v="6"/>
    <x v="1"/>
    <n v="47.9"/>
    <n v="95.8"/>
    <x v="27"/>
    <d v="2025-01-29T00:00:00"/>
    <x v="2"/>
    <x v="0"/>
    <x v="0"/>
    <x v="0"/>
    <x v="6"/>
    <x v="3"/>
    <x v="4"/>
    <x v="2"/>
  </r>
  <r>
    <s v="TX500645"/>
    <x v="6"/>
    <x v="8"/>
    <n v="78.400000000000006"/>
    <n v="627.20000000000005"/>
    <x v="27"/>
    <d v="2025-01-30T00:00:00"/>
    <x v="2"/>
    <x v="1"/>
    <x v="0"/>
    <x v="0"/>
    <x v="6"/>
    <x v="1"/>
    <x v="4"/>
    <x v="2"/>
  </r>
  <r>
    <s v="TX500646"/>
    <x v="2"/>
    <x v="21"/>
    <n v="122.1"/>
    <n v="1709.3999999999999"/>
    <x v="27"/>
    <d v="2025-02-02T00:00:00"/>
    <x v="2"/>
    <x v="0"/>
    <x v="2"/>
    <x v="0"/>
    <x v="6"/>
    <x v="0"/>
    <x v="4"/>
    <x v="2"/>
  </r>
  <r>
    <s v="TX500647"/>
    <x v="2"/>
    <x v="1"/>
    <n v="83.7"/>
    <n v="167.4"/>
    <x v="28"/>
    <d v="2025-01-29T00:00:00"/>
    <x v="0"/>
    <x v="1"/>
    <x v="2"/>
    <x v="0"/>
    <x v="7"/>
    <x v="7"/>
    <x v="4"/>
    <x v="0"/>
  </r>
  <r>
    <s v="TX500648"/>
    <x v="3"/>
    <x v="12"/>
    <n v="97.9"/>
    <n v="391.6"/>
    <x v="28"/>
    <d v="2025-02-02T00:00:00"/>
    <x v="2"/>
    <x v="3"/>
    <x v="2"/>
    <x v="0"/>
    <x v="7"/>
    <x v="5"/>
    <x v="4"/>
    <x v="2"/>
  </r>
  <r>
    <s v="TX500649"/>
    <x v="14"/>
    <x v="0"/>
    <n v="15"/>
    <n v="15"/>
    <x v="28"/>
    <d v="2025-02-03T00:00:00"/>
    <x v="2"/>
    <x v="3"/>
    <x v="0"/>
    <x v="0"/>
    <x v="8"/>
    <x v="0"/>
    <x v="4"/>
    <x v="2"/>
  </r>
  <r>
    <s v="TX500650"/>
    <x v="12"/>
    <x v="2"/>
    <n v="94.6"/>
    <n v="283.79999999999995"/>
    <x v="28"/>
    <d v="2025-01-30T00:00:00"/>
    <x v="1"/>
    <x v="2"/>
    <x v="1"/>
    <x v="0"/>
    <x v="8"/>
    <x v="3"/>
    <x v="4"/>
    <x v="1"/>
  </r>
  <r>
    <s v="TX500651"/>
    <x v="0"/>
    <x v="13"/>
    <n v="19.7"/>
    <n v="118.19999999999999"/>
    <x v="28"/>
    <d v="2025-02-09T00:00:00"/>
    <x v="2"/>
    <x v="0"/>
    <x v="2"/>
    <x v="0"/>
    <x v="8"/>
    <x v="11"/>
    <x v="4"/>
    <x v="2"/>
  </r>
  <r>
    <s v="TX500652"/>
    <x v="7"/>
    <x v="0"/>
    <n v="46.7"/>
    <n v="46.7"/>
    <x v="28"/>
    <d v="2025-02-01T00:00:00"/>
    <x v="2"/>
    <x v="2"/>
    <x v="0"/>
    <x v="0"/>
    <x v="17"/>
    <x v="2"/>
    <x v="4"/>
    <x v="2"/>
  </r>
  <r>
    <s v="TX500653"/>
    <x v="1"/>
    <x v="12"/>
    <n v="43"/>
    <n v="172"/>
    <x v="28"/>
    <d v="2025-01-30T00:00:00"/>
    <x v="1"/>
    <x v="2"/>
    <x v="2"/>
    <x v="0"/>
    <x v="17"/>
    <x v="3"/>
    <x v="4"/>
    <x v="1"/>
  </r>
  <r>
    <s v="TX500654"/>
    <x v="6"/>
    <x v="2"/>
    <n v="68.2"/>
    <n v="204.60000000000002"/>
    <x v="28"/>
    <d v="2025-02-04T00:00:00"/>
    <x v="2"/>
    <x v="0"/>
    <x v="0"/>
    <x v="0"/>
    <x v="9"/>
    <x v="4"/>
    <x v="4"/>
    <x v="2"/>
  </r>
  <r>
    <s v="TX500655"/>
    <x v="10"/>
    <x v="7"/>
    <n v="24.3"/>
    <n v="243"/>
    <x v="28"/>
    <d v="2025-01-30T00:00:00"/>
    <x v="1"/>
    <x v="0"/>
    <x v="2"/>
    <x v="0"/>
    <x v="10"/>
    <x v="3"/>
    <x v="4"/>
    <x v="1"/>
  </r>
  <r>
    <s v="TX500656"/>
    <x v="7"/>
    <x v="1"/>
    <n v="86.8"/>
    <n v="173.6"/>
    <x v="28"/>
    <d v="2025-02-02T00:00:00"/>
    <x v="2"/>
    <x v="4"/>
    <x v="2"/>
    <x v="0"/>
    <x v="11"/>
    <x v="5"/>
    <x v="4"/>
    <x v="2"/>
  </r>
  <r>
    <s v="TX500657"/>
    <x v="0"/>
    <x v="1"/>
    <n v="15.8"/>
    <n v="31.6"/>
    <x v="28"/>
    <d v="2025-01-31T00:00:00"/>
    <x v="1"/>
    <x v="1"/>
    <x v="0"/>
    <x v="0"/>
    <x v="11"/>
    <x v="1"/>
    <x v="4"/>
    <x v="1"/>
  </r>
  <r>
    <s v="TX500658"/>
    <x v="2"/>
    <x v="12"/>
    <n v="61.6"/>
    <n v="246.4"/>
    <x v="28"/>
    <d v="2025-01-30T00:00:00"/>
    <x v="1"/>
    <x v="2"/>
    <x v="0"/>
    <x v="0"/>
    <x v="11"/>
    <x v="3"/>
    <x v="4"/>
    <x v="1"/>
  </r>
  <r>
    <s v="TX500659"/>
    <x v="6"/>
    <x v="2"/>
    <n v="48.7"/>
    <n v="146.10000000000002"/>
    <x v="28"/>
    <d v="2025-02-04T00:00:00"/>
    <x v="2"/>
    <x v="1"/>
    <x v="2"/>
    <x v="0"/>
    <x v="45"/>
    <x v="4"/>
    <x v="4"/>
    <x v="2"/>
  </r>
  <r>
    <s v="TX500660"/>
    <x v="8"/>
    <x v="12"/>
    <n v="24.3"/>
    <n v="97.2"/>
    <x v="28"/>
    <d v="2025-01-31T00:00:00"/>
    <x v="2"/>
    <x v="1"/>
    <x v="2"/>
    <x v="0"/>
    <x v="21"/>
    <x v="1"/>
    <x v="4"/>
    <x v="2"/>
  </r>
  <r>
    <s v="TX500661"/>
    <x v="2"/>
    <x v="1"/>
    <n v="130.69999999999999"/>
    <n v="261.39999999999998"/>
    <x v="28"/>
    <d v="2025-01-30T00:00:00"/>
    <x v="2"/>
    <x v="2"/>
    <x v="0"/>
    <x v="0"/>
    <x v="44"/>
    <x v="3"/>
    <x v="4"/>
    <x v="2"/>
  </r>
  <r>
    <s v="TX500662"/>
    <x v="10"/>
    <x v="0"/>
    <n v="26"/>
    <n v="26"/>
    <x v="28"/>
    <d v="2025-01-31T00:00:00"/>
    <x v="1"/>
    <x v="0"/>
    <x v="0"/>
    <x v="0"/>
    <x v="3"/>
    <x v="1"/>
    <x v="4"/>
    <x v="1"/>
  </r>
  <r>
    <s v="TX500663"/>
    <x v="2"/>
    <x v="9"/>
    <n v="94.4"/>
    <n v="472"/>
    <x v="28"/>
    <d v="2025-01-30T00:00:00"/>
    <x v="2"/>
    <x v="0"/>
    <x v="0"/>
    <x v="0"/>
    <x v="3"/>
    <x v="3"/>
    <x v="4"/>
    <x v="2"/>
  </r>
  <r>
    <s v="TX500664"/>
    <x v="0"/>
    <x v="13"/>
    <n v="23.7"/>
    <n v="142.19999999999999"/>
    <x v="28"/>
    <d v="2025-01-31T00:00:00"/>
    <x v="1"/>
    <x v="2"/>
    <x v="2"/>
    <x v="0"/>
    <x v="3"/>
    <x v="1"/>
    <x v="4"/>
    <x v="1"/>
  </r>
  <r>
    <s v="TX500665"/>
    <x v="9"/>
    <x v="4"/>
    <n v="37.4"/>
    <n v="448.79999999999995"/>
    <x v="28"/>
    <d v="2025-01-31T00:00:00"/>
    <x v="1"/>
    <x v="2"/>
    <x v="0"/>
    <x v="0"/>
    <x v="3"/>
    <x v="1"/>
    <x v="4"/>
    <x v="1"/>
  </r>
  <r>
    <s v="TX500666"/>
    <x v="1"/>
    <x v="34"/>
    <n v="55.2"/>
    <n v="1987.2"/>
    <x v="28"/>
    <d v="2025-01-29T00:00:00"/>
    <x v="2"/>
    <x v="3"/>
    <x v="1"/>
    <x v="0"/>
    <x v="3"/>
    <x v="7"/>
    <x v="4"/>
    <x v="2"/>
  </r>
  <r>
    <s v="TX500667"/>
    <x v="2"/>
    <x v="11"/>
    <n v="57.1"/>
    <n v="513.9"/>
    <x v="28"/>
    <d v="2025-01-31T00:00:00"/>
    <x v="1"/>
    <x v="0"/>
    <x v="2"/>
    <x v="0"/>
    <x v="3"/>
    <x v="1"/>
    <x v="4"/>
    <x v="1"/>
  </r>
  <r>
    <s v="TX500668"/>
    <x v="12"/>
    <x v="0"/>
    <n v="55.3"/>
    <n v="55.3"/>
    <x v="28"/>
    <d v="2025-01-30T00:00:00"/>
    <x v="2"/>
    <x v="2"/>
    <x v="2"/>
    <x v="0"/>
    <x v="3"/>
    <x v="3"/>
    <x v="4"/>
    <x v="2"/>
  </r>
  <r>
    <s v="TX500669"/>
    <x v="15"/>
    <x v="3"/>
    <n v="23.9"/>
    <n v="167.29999999999998"/>
    <x v="28"/>
    <d v="2025-01-30T00:00:00"/>
    <x v="2"/>
    <x v="4"/>
    <x v="1"/>
    <x v="0"/>
    <x v="3"/>
    <x v="3"/>
    <x v="4"/>
    <x v="2"/>
  </r>
  <r>
    <s v="TX500670"/>
    <x v="0"/>
    <x v="0"/>
    <n v="34.1"/>
    <n v="34.1"/>
    <x v="28"/>
    <d v="2025-02-05T00:00:00"/>
    <x v="2"/>
    <x v="2"/>
    <x v="0"/>
    <x v="0"/>
    <x v="3"/>
    <x v="6"/>
    <x v="4"/>
    <x v="2"/>
  </r>
  <r>
    <s v="TX500671"/>
    <x v="12"/>
    <x v="12"/>
    <n v="38.5"/>
    <n v="154"/>
    <x v="28"/>
    <d v="2025-02-09T00:00:00"/>
    <x v="2"/>
    <x v="0"/>
    <x v="0"/>
    <x v="0"/>
    <x v="3"/>
    <x v="11"/>
    <x v="4"/>
    <x v="2"/>
  </r>
  <r>
    <s v="TX500672"/>
    <x v="7"/>
    <x v="1"/>
    <n v="105"/>
    <n v="210"/>
    <x v="28"/>
    <d v="2025-02-04T00:00:00"/>
    <x v="2"/>
    <x v="0"/>
    <x v="2"/>
    <x v="0"/>
    <x v="3"/>
    <x v="4"/>
    <x v="4"/>
    <x v="2"/>
  </r>
  <r>
    <s v="TX500673"/>
    <x v="8"/>
    <x v="9"/>
    <n v="45.2"/>
    <n v="226"/>
    <x v="28"/>
    <d v="2025-01-31T00:00:00"/>
    <x v="2"/>
    <x v="0"/>
    <x v="2"/>
    <x v="0"/>
    <x v="3"/>
    <x v="1"/>
    <x v="4"/>
    <x v="2"/>
  </r>
  <r>
    <s v="TX500674"/>
    <x v="17"/>
    <x v="2"/>
    <n v="24.8"/>
    <n v="74.400000000000006"/>
    <x v="28"/>
    <d v="2025-01-29T00:00:00"/>
    <x v="0"/>
    <x v="0"/>
    <x v="1"/>
    <x v="0"/>
    <x v="3"/>
    <x v="7"/>
    <x v="4"/>
    <x v="0"/>
  </r>
  <r>
    <s v="TX500675"/>
    <x v="11"/>
    <x v="12"/>
    <n v="43.8"/>
    <n v="175.2"/>
    <x v="28"/>
    <d v="2025-02-05T00:00:00"/>
    <x v="2"/>
    <x v="1"/>
    <x v="2"/>
    <x v="0"/>
    <x v="6"/>
    <x v="6"/>
    <x v="4"/>
    <x v="2"/>
  </r>
  <r>
    <s v="TX500676"/>
    <x v="1"/>
    <x v="0"/>
    <n v="75"/>
    <n v="75"/>
    <x v="28"/>
    <d v="2025-01-31T00:00:00"/>
    <x v="2"/>
    <x v="4"/>
    <x v="1"/>
    <x v="0"/>
    <x v="6"/>
    <x v="1"/>
    <x v="4"/>
    <x v="2"/>
  </r>
  <r>
    <s v="TX500677"/>
    <x v="2"/>
    <x v="0"/>
    <n v="169.9"/>
    <n v="169.9"/>
    <x v="28"/>
    <d v="2025-01-30T00:00:00"/>
    <x v="1"/>
    <x v="2"/>
    <x v="0"/>
    <x v="0"/>
    <x v="6"/>
    <x v="3"/>
    <x v="4"/>
    <x v="1"/>
  </r>
  <r>
    <s v="TX500678"/>
    <x v="9"/>
    <x v="1"/>
    <n v="72.2"/>
    <n v="144.4"/>
    <x v="28"/>
    <d v="2025-01-31T00:00:00"/>
    <x v="2"/>
    <x v="4"/>
    <x v="1"/>
    <x v="0"/>
    <x v="6"/>
    <x v="1"/>
    <x v="4"/>
    <x v="2"/>
  </r>
  <r>
    <s v="TX500679"/>
    <x v="0"/>
    <x v="0"/>
    <n v="20"/>
    <n v="20"/>
    <x v="29"/>
    <d v="2025-02-02T00:00:00"/>
    <x v="2"/>
    <x v="2"/>
    <x v="1"/>
    <x v="0"/>
    <x v="7"/>
    <x v="2"/>
    <x v="4"/>
    <x v="2"/>
  </r>
  <r>
    <s v="TX500680"/>
    <x v="9"/>
    <x v="1"/>
    <n v="40.799999999999997"/>
    <n v="81.599999999999994"/>
    <x v="29"/>
    <d v="2025-02-01T00:00:00"/>
    <x v="2"/>
    <x v="3"/>
    <x v="2"/>
    <x v="0"/>
    <x v="8"/>
    <x v="1"/>
    <x v="4"/>
    <x v="2"/>
  </r>
  <r>
    <s v="TX500681"/>
    <x v="10"/>
    <x v="12"/>
    <n v="58"/>
    <n v="232"/>
    <x v="29"/>
    <d v="2025-02-03T00:00:00"/>
    <x v="2"/>
    <x v="0"/>
    <x v="0"/>
    <x v="0"/>
    <x v="8"/>
    <x v="5"/>
    <x v="4"/>
    <x v="2"/>
  </r>
  <r>
    <s v="TX500682"/>
    <x v="12"/>
    <x v="1"/>
    <n v="43.1"/>
    <n v="86.2"/>
    <x v="29"/>
    <d v="2025-01-31T00:00:00"/>
    <x v="2"/>
    <x v="1"/>
    <x v="2"/>
    <x v="0"/>
    <x v="8"/>
    <x v="3"/>
    <x v="4"/>
    <x v="2"/>
  </r>
  <r>
    <s v="TX500683"/>
    <x v="6"/>
    <x v="11"/>
    <n v="74.7"/>
    <n v="672.30000000000007"/>
    <x v="29"/>
    <d v="2025-02-01T00:00:00"/>
    <x v="1"/>
    <x v="0"/>
    <x v="2"/>
    <x v="0"/>
    <x v="8"/>
    <x v="1"/>
    <x v="4"/>
    <x v="1"/>
  </r>
  <r>
    <s v="TX500684"/>
    <x v="6"/>
    <x v="0"/>
    <n v="128.19999999999999"/>
    <n v="128.19999999999999"/>
    <x v="29"/>
    <d v="2025-01-30T00:00:00"/>
    <x v="1"/>
    <x v="1"/>
    <x v="0"/>
    <x v="0"/>
    <x v="8"/>
    <x v="7"/>
    <x v="4"/>
    <x v="1"/>
  </r>
  <r>
    <s v="TX500685"/>
    <x v="14"/>
    <x v="12"/>
    <n v="26.7"/>
    <n v="106.8"/>
    <x v="29"/>
    <d v="2025-01-31T00:00:00"/>
    <x v="1"/>
    <x v="1"/>
    <x v="0"/>
    <x v="0"/>
    <x v="8"/>
    <x v="3"/>
    <x v="4"/>
    <x v="1"/>
  </r>
  <r>
    <s v="TX500686"/>
    <x v="17"/>
    <x v="13"/>
    <n v="31.5"/>
    <n v="189"/>
    <x v="29"/>
    <d v="2025-01-31T00:00:00"/>
    <x v="2"/>
    <x v="2"/>
    <x v="0"/>
    <x v="0"/>
    <x v="17"/>
    <x v="3"/>
    <x v="4"/>
    <x v="2"/>
  </r>
  <r>
    <s v="TX500687"/>
    <x v="3"/>
    <x v="3"/>
    <n v="64.7"/>
    <n v="452.90000000000003"/>
    <x v="29"/>
    <d v="2025-01-31T00:00:00"/>
    <x v="2"/>
    <x v="0"/>
    <x v="2"/>
    <x v="0"/>
    <x v="9"/>
    <x v="3"/>
    <x v="4"/>
    <x v="2"/>
  </r>
  <r>
    <s v="TX500688"/>
    <x v="5"/>
    <x v="1"/>
    <n v="55.6"/>
    <n v="111.2"/>
    <x v="29"/>
    <d v="2025-02-02T00:00:00"/>
    <x v="2"/>
    <x v="3"/>
    <x v="0"/>
    <x v="0"/>
    <x v="11"/>
    <x v="2"/>
    <x v="4"/>
    <x v="2"/>
  </r>
  <r>
    <s v="TX500689"/>
    <x v="3"/>
    <x v="1"/>
    <n v="36.200000000000003"/>
    <n v="72.400000000000006"/>
    <x v="29"/>
    <d v="2025-01-31T00:00:00"/>
    <x v="2"/>
    <x v="3"/>
    <x v="0"/>
    <x v="0"/>
    <x v="11"/>
    <x v="3"/>
    <x v="4"/>
    <x v="2"/>
  </r>
  <r>
    <s v="TX500690"/>
    <x v="0"/>
    <x v="0"/>
    <n v="26.6"/>
    <n v="26.6"/>
    <x v="29"/>
    <d v="2025-01-31T00:00:00"/>
    <x v="0"/>
    <x v="1"/>
    <x v="1"/>
    <x v="0"/>
    <x v="19"/>
    <x v="3"/>
    <x v="4"/>
    <x v="0"/>
  </r>
  <r>
    <s v="TX500691"/>
    <x v="10"/>
    <x v="12"/>
    <n v="31.5"/>
    <n v="126"/>
    <x v="29"/>
    <d v="2025-02-01T00:00:00"/>
    <x v="1"/>
    <x v="0"/>
    <x v="0"/>
    <x v="0"/>
    <x v="31"/>
    <x v="1"/>
    <x v="4"/>
    <x v="1"/>
  </r>
  <r>
    <s v="TX500692"/>
    <x v="10"/>
    <x v="0"/>
    <n v="27"/>
    <n v="27"/>
    <x v="29"/>
    <d v="2025-02-01T00:00:00"/>
    <x v="2"/>
    <x v="1"/>
    <x v="2"/>
    <x v="0"/>
    <x v="13"/>
    <x v="1"/>
    <x v="4"/>
    <x v="2"/>
  </r>
  <r>
    <s v="TX500693"/>
    <x v="4"/>
    <x v="0"/>
    <n v="32"/>
    <n v="32"/>
    <x v="29"/>
    <d v="2025-02-02T00:00:00"/>
    <x v="1"/>
    <x v="3"/>
    <x v="0"/>
    <x v="0"/>
    <x v="21"/>
    <x v="2"/>
    <x v="4"/>
    <x v="1"/>
  </r>
  <r>
    <s v="TX500694"/>
    <x v="1"/>
    <x v="2"/>
    <n v="48.1"/>
    <n v="144.30000000000001"/>
    <x v="29"/>
    <d v="2025-02-01T00:00:00"/>
    <x v="1"/>
    <x v="2"/>
    <x v="1"/>
    <x v="0"/>
    <x v="1"/>
    <x v="1"/>
    <x v="4"/>
    <x v="1"/>
  </r>
  <r>
    <s v="TX500695"/>
    <x v="9"/>
    <x v="1"/>
    <n v="43.4"/>
    <n v="86.8"/>
    <x v="29"/>
    <d v="2025-01-31T00:00:00"/>
    <x v="1"/>
    <x v="1"/>
    <x v="1"/>
    <x v="0"/>
    <x v="22"/>
    <x v="3"/>
    <x v="4"/>
    <x v="1"/>
  </r>
  <r>
    <s v="TX500696"/>
    <x v="6"/>
    <x v="1"/>
    <n v="42.6"/>
    <n v="85.2"/>
    <x v="29"/>
    <d v="2025-02-02T00:00:00"/>
    <x v="2"/>
    <x v="3"/>
    <x v="0"/>
    <x v="0"/>
    <x v="22"/>
    <x v="2"/>
    <x v="4"/>
    <x v="2"/>
  </r>
  <r>
    <s v="TX500697"/>
    <x v="8"/>
    <x v="1"/>
    <n v="15.9"/>
    <n v="31.8"/>
    <x v="29"/>
    <d v="2025-01-31T00:00:00"/>
    <x v="2"/>
    <x v="0"/>
    <x v="0"/>
    <x v="0"/>
    <x v="34"/>
    <x v="3"/>
    <x v="4"/>
    <x v="2"/>
  </r>
  <r>
    <s v="TX500698"/>
    <x v="9"/>
    <x v="1"/>
    <n v="63.2"/>
    <n v="126.4"/>
    <x v="29"/>
    <d v="2025-01-31T00:00:00"/>
    <x v="1"/>
    <x v="1"/>
    <x v="0"/>
    <x v="0"/>
    <x v="3"/>
    <x v="3"/>
    <x v="4"/>
    <x v="1"/>
  </r>
  <r>
    <s v="TX500699"/>
    <x v="7"/>
    <x v="12"/>
    <n v="64.8"/>
    <n v="259.2"/>
    <x v="29"/>
    <d v="2025-02-01T00:00:00"/>
    <x v="0"/>
    <x v="4"/>
    <x v="1"/>
    <x v="0"/>
    <x v="3"/>
    <x v="1"/>
    <x v="4"/>
    <x v="0"/>
  </r>
  <r>
    <s v="TX500700"/>
    <x v="7"/>
    <x v="2"/>
    <n v="79.8"/>
    <n v="239.39999999999998"/>
    <x v="29"/>
    <d v="2025-01-31T00:00:00"/>
    <x v="1"/>
    <x v="0"/>
    <x v="0"/>
    <x v="0"/>
    <x v="3"/>
    <x v="3"/>
    <x v="4"/>
    <x v="1"/>
  </r>
  <r>
    <s v="TX500701"/>
    <x v="9"/>
    <x v="0"/>
    <n v="54.4"/>
    <n v="54.4"/>
    <x v="29"/>
    <d v="2025-02-01T00:00:00"/>
    <x v="2"/>
    <x v="4"/>
    <x v="2"/>
    <x v="0"/>
    <x v="3"/>
    <x v="1"/>
    <x v="4"/>
    <x v="2"/>
  </r>
  <r>
    <s v="TX500702"/>
    <x v="6"/>
    <x v="0"/>
    <n v="87.3"/>
    <n v="87.3"/>
    <x v="29"/>
    <d v="2025-01-31T00:00:00"/>
    <x v="1"/>
    <x v="1"/>
    <x v="0"/>
    <x v="0"/>
    <x v="3"/>
    <x v="3"/>
    <x v="4"/>
    <x v="1"/>
  </r>
  <r>
    <s v="TX500703"/>
    <x v="8"/>
    <x v="12"/>
    <n v="32.4"/>
    <n v="129.6"/>
    <x v="29"/>
    <d v="2025-01-30T00:00:00"/>
    <x v="1"/>
    <x v="1"/>
    <x v="0"/>
    <x v="0"/>
    <x v="3"/>
    <x v="7"/>
    <x v="4"/>
    <x v="1"/>
  </r>
  <r>
    <s v="TX500704"/>
    <x v="2"/>
    <x v="0"/>
    <n v="177.4"/>
    <n v="177.4"/>
    <x v="29"/>
    <d v="2025-02-03T00:00:00"/>
    <x v="1"/>
    <x v="0"/>
    <x v="2"/>
    <x v="0"/>
    <x v="3"/>
    <x v="5"/>
    <x v="4"/>
    <x v="1"/>
  </r>
  <r>
    <s v="TX500705"/>
    <x v="7"/>
    <x v="1"/>
    <n v="70.099999999999994"/>
    <n v="140.19999999999999"/>
    <x v="29"/>
    <d v="2025-01-31T00:00:00"/>
    <x v="1"/>
    <x v="3"/>
    <x v="1"/>
    <x v="0"/>
    <x v="3"/>
    <x v="3"/>
    <x v="4"/>
    <x v="1"/>
  </r>
  <r>
    <s v="TX500706"/>
    <x v="9"/>
    <x v="13"/>
    <n v="51.1"/>
    <n v="306.60000000000002"/>
    <x v="29"/>
    <d v="2025-01-31T00:00:00"/>
    <x v="2"/>
    <x v="0"/>
    <x v="0"/>
    <x v="0"/>
    <x v="3"/>
    <x v="3"/>
    <x v="4"/>
    <x v="2"/>
  </r>
  <r>
    <s v="TX500707"/>
    <x v="2"/>
    <x v="9"/>
    <n v="79.900000000000006"/>
    <n v="399.5"/>
    <x v="29"/>
    <d v="2025-02-01T00:00:00"/>
    <x v="1"/>
    <x v="3"/>
    <x v="2"/>
    <x v="0"/>
    <x v="24"/>
    <x v="1"/>
    <x v="4"/>
    <x v="1"/>
  </r>
  <r>
    <s v="TX500708"/>
    <x v="6"/>
    <x v="0"/>
    <n v="57.6"/>
    <n v="57.6"/>
    <x v="30"/>
    <d v="2025-02-05T00:00:00"/>
    <x v="1"/>
    <x v="0"/>
    <x v="2"/>
    <x v="0"/>
    <x v="49"/>
    <x v="0"/>
    <x v="4"/>
    <x v="1"/>
  </r>
  <r>
    <s v="TX500709"/>
    <x v="8"/>
    <x v="7"/>
    <n v="59.7"/>
    <n v="597"/>
    <x v="30"/>
    <d v="2025-02-04T00:00:00"/>
    <x v="1"/>
    <x v="2"/>
    <x v="0"/>
    <x v="0"/>
    <x v="25"/>
    <x v="5"/>
    <x v="4"/>
    <x v="1"/>
  </r>
  <r>
    <s v="TX500710"/>
    <x v="8"/>
    <x v="9"/>
    <n v="30"/>
    <n v="150"/>
    <x v="30"/>
    <d v="2025-02-02T00:00:00"/>
    <x v="1"/>
    <x v="1"/>
    <x v="0"/>
    <x v="0"/>
    <x v="6"/>
    <x v="1"/>
    <x v="4"/>
    <x v="1"/>
  </r>
  <r>
    <s v="TX500711"/>
    <x v="10"/>
    <x v="1"/>
    <n v="69.2"/>
    <n v="138.4"/>
    <x v="30"/>
    <d v="2025-02-02T00:00:00"/>
    <x v="0"/>
    <x v="2"/>
    <x v="1"/>
    <x v="0"/>
    <x v="6"/>
    <x v="1"/>
    <x v="4"/>
    <x v="0"/>
  </r>
  <r>
    <s v="TX500712"/>
    <x v="0"/>
    <x v="8"/>
    <n v="10.9"/>
    <n v="87.2"/>
    <x v="30"/>
    <d v="2025-02-01T00:00:00"/>
    <x v="2"/>
    <x v="0"/>
    <x v="2"/>
    <x v="0"/>
    <x v="6"/>
    <x v="3"/>
    <x v="4"/>
    <x v="2"/>
  </r>
  <r>
    <s v="TX500713"/>
    <x v="16"/>
    <x v="1"/>
    <n v="48.6"/>
    <n v="97.2"/>
    <x v="30"/>
    <d v="2025-02-04T00:00:00"/>
    <x v="1"/>
    <x v="1"/>
    <x v="2"/>
    <x v="0"/>
    <x v="6"/>
    <x v="5"/>
    <x v="4"/>
    <x v="1"/>
  </r>
  <r>
    <s v="TX500714"/>
    <x v="2"/>
    <x v="1"/>
    <n v="61.1"/>
    <n v="122.2"/>
    <x v="30"/>
    <d v="2025-02-03T00:00:00"/>
    <x v="2"/>
    <x v="1"/>
    <x v="2"/>
    <x v="0"/>
    <x v="7"/>
    <x v="2"/>
    <x v="4"/>
    <x v="2"/>
  </r>
  <r>
    <s v="TX500715"/>
    <x v="8"/>
    <x v="1"/>
    <n v="23.2"/>
    <n v="46.4"/>
    <x v="30"/>
    <d v="2025-02-01T00:00:00"/>
    <x v="1"/>
    <x v="3"/>
    <x v="2"/>
    <x v="0"/>
    <x v="8"/>
    <x v="3"/>
    <x v="4"/>
    <x v="1"/>
  </r>
  <r>
    <s v="TX500716"/>
    <x v="12"/>
    <x v="12"/>
    <n v="55.8"/>
    <n v="223.2"/>
    <x v="30"/>
    <d v="2025-02-01T00:00:00"/>
    <x v="1"/>
    <x v="0"/>
    <x v="0"/>
    <x v="0"/>
    <x v="8"/>
    <x v="3"/>
    <x v="4"/>
    <x v="1"/>
  </r>
  <r>
    <s v="TX500717"/>
    <x v="9"/>
    <x v="12"/>
    <n v="24.8"/>
    <n v="99.2"/>
    <x v="30"/>
    <d v="2025-02-01T00:00:00"/>
    <x v="2"/>
    <x v="0"/>
    <x v="2"/>
    <x v="0"/>
    <x v="8"/>
    <x v="3"/>
    <x v="4"/>
    <x v="2"/>
  </r>
  <r>
    <s v="TX500718"/>
    <x v="10"/>
    <x v="1"/>
    <n v="27.9"/>
    <n v="55.8"/>
    <x v="30"/>
    <d v="2025-01-31T00:00:00"/>
    <x v="1"/>
    <x v="2"/>
    <x v="2"/>
    <x v="0"/>
    <x v="8"/>
    <x v="7"/>
    <x v="4"/>
    <x v="1"/>
  </r>
  <r>
    <s v="TX500719"/>
    <x v="10"/>
    <x v="13"/>
    <n v="51.1"/>
    <n v="306.60000000000002"/>
    <x v="30"/>
    <d v="2025-01-31T00:00:00"/>
    <x v="2"/>
    <x v="3"/>
    <x v="0"/>
    <x v="0"/>
    <x v="8"/>
    <x v="7"/>
    <x v="4"/>
    <x v="2"/>
  </r>
  <r>
    <s v="TX500720"/>
    <x v="17"/>
    <x v="5"/>
    <n v="32.700000000000003"/>
    <n v="359.70000000000005"/>
    <x v="30"/>
    <d v="2025-02-01T00:00:00"/>
    <x v="1"/>
    <x v="4"/>
    <x v="2"/>
    <x v="0"/>
    <x v="17"/>
    <x v="3"/>
    <x v="4"/>
    <x v="1"/>
  </r>
  <r>
    <s v="TX500721"/>
    <x v="8"/>
    <x v="12"/>
    <n v="22.5"/>
    <n v="90"/>
    <x v="30"/>
    <d v="2025-01-31T00:00:00"/>
    <x v="1"/>
    <x v="0"/>
    <x v="2"/>
    <x v="0"/>
    <x v="26"/>
    <x v="7"/>
    <x v="4"/>
    <x v="1"/>
  </r>
  <r>
    <s v="TX500722"/>
    <x v="0"/>
    <x v="3"/>
    <n v="14.6"/>
    <n v="102.2"/>
    <x v="30"/>
    <d v="2025-02-01T00:00:00"/>
    <x v="2"/>
    <x v="2"/>
    <x v="0"/>
    <x v="0"/>
    <x v="41"/>
    <x v="3"/>
    <x v="4"/>
    <x v="2"/>
  </r>
  <r>
    <s v="TX500723"/>
    <x v="5"/>
    <x v="2"/>
    <n v="32.5"/>
    <n v="97.5"/>
    <x v="30"/>
    <d v="2025-02-03T00:00:00"/>
    <x v="1"/>
    <x v="0"/>
    <x v="0"/>
    <x v="0"/>
    <x v="10"/>
    <x v="2"/>
    <x v="4"/>
    <x v="1"/>
  </r>
  <r>
    <s v="TX500724"/>
    <x v="18"/>
    <x v="0"/>
    <n v="78.099999999999994"/>
    <n v="78.099999999999994"/>
    <x v="30"/>
    <d v="2025-02-03T00:00:00"/>
    <x v="1"/>
    <x v="0"/>
    <x v="2"/>
    <x v="0"/>
    <x v="11"/>
    <x v="2"/>
    <x v="4"/>
    <x v="1"/>
  </r>
  <r>
    <s v="TX500725"/>
    <x v="12"/>
    <x v="13"/>
    <n v="110.2"/>
    <n v="661.2"/>
    <x v="30"/>
    <d v="2025-01-31T00:00:00"/>
    <x v="1"/>
    <x v="1"/>
    <x v="4"/>
    <x v="0"/>
    <x v="13"/>
    <x v="7"/>
    <x v="4"/>
    <x v="1"/>
  </r>
  <r>
    <s v="TX500726"/>
    <x v="6"/>
    <x v="2"/>
    <n v="86.3"/>
    <n v="258.89999999999998"/>
    <x v="30"/>
    <d v="2025-02-02T00:00:00"/>
    <x v="2"/>
    <x v="3"/>
    <x v="0"/>
    <x v="0"/>
    <x v="21"/>
    <x v="1"/>
    <x v="4"/>
    <x v="2"/>
  </r>
  <r>
    <s v="TX500727"/>
    <x v="1"/>
    <x v="13"/>
    <n v="73.599999999999994"/>
    <n v="441.59999999999997"/>
    <x v="30"/>
    <d v="2025-02-02T00:00:00"/>
    <x v="3"/>
    <x v="3"/>
    <x v="4"/>
    <x v="0"/>
    <x v="44"/>
    <x v="1"/>
    <x v="4"/>
    <x v="3"/>
  </r>
  <r>
    <s v="TX500728"/>
    <x v="6"/>
    <x v="15"/>
    <n v="67.7"/>
    <n v="880.1"/>
    <x v="30"/>
    <d v="2025-02-02T00:00:00"/>
    <x v="2"/>
    <x v="0"/>
    <x v="2"/>
    <x v="0"/>
    <x v="3"/>
    <x v="1"/>
    <x v="4"/>
    <x v="2"/>
  </r>
  <r>
    <s v="TX500729"/>
    <x v="7"/>
    <x v="13"/>
    <n v="142.19999999999999"/>
    <n v="853.19999999999993"/>
    <x v="30"/>
    <d v="2025-02-01T00:00:00"/>
    <x v="2"/>
    <x v="2"/>
    <x v="4"/>
    <x v="0"/>
    <x v="3"/>
    <x v="3"/>
    <x v="4"/>
    <x v="2"/>
  </r>
  <r>
    <s v="TX500730"/>
    <x v="1"/>
    <x v="11"/>
    <n v="45.8"/>
    <n v="412.2"/>
    <x v="30"/>
    <d v="2025-02-02T00:00:00"/>
    <x v="2"/>
    <x v="1"/>
    <x v="2"/>
    <x v="0"/>
    <x v="3"/>
    <x v="1"/>
    <x v="4"/>
    <x v="2"/>
  </r>
  <r>
    <s v="TX500731"/>
    <x v="10"/>
    <x v="1"/>
    <n v="24.2"/>
    <n v="48.4"/>
    <x v="31"/>
    <d v="2025-02-04T00:00:00"/>
    <x v="2"/>
    <x v="3"/>
    <x v="2"/>
    <x v="0"/>
    <x v="3"/>
    <x v="2"/>
    <x v="4"/>
    <x v="2"/>
  </r>
  <r>
    <s v="TX500732"/>
    <x v="2"/>
    <x v="2"/>
    <n v="144.9"/>
    <n v="434.70000000000005"/>
    <x v="31"/>
    <d v="2025-02-02T00:00:00"/>
    <x v="3"/>
    <x v="2"/>
    <x v="2"/>
    <x v="0"/>
    <x v="3"/>
    <x v="3"/>
    <x v="4"/>
    <x v="3"/>
  </r>
  <r>
    <s v="TX500733"/>
    <x v="11"/>
    <x v="9"/>
    <n v="32.799999999999997"/>
    <n v="164"/>
    <x v="31"/>
    <d v="2025-02-04T00:00:00"/>
    <x v="2"/>
    <x v="2"/>
    <x v="0"/>
    <x v="0"/>
    <x v="23"/>
    <x v="2"/>
    <x v="4"/>
    <x v="2"/>
  </r>
  <r>
    <s v="TX500734"/>
    <x v="7"/>
    <x v="7"/>
    <n v="35.700000000000003"/>
    <n v="357"/>
    <x v="31"/>
    <d v="2025-02-01T00:00:00"/>
    <x v="2"/>
    <x v="0"/>
    <x v="1"/>
    <x v="0"/>
    <x v="6"/>
    <x v="7"/>
    <x v="4"/>
    <x v="2"/>
  </r>
  <r>
    <s v="TX500735"/>
    <x v="9"/>
    <x v="1"/>
    <n v="54.6"/>
    <n v="109.2"/>
    <x v="31"/>
    <d v="2025-02-02T00:00:00"/>
    <x v="2"/>
    <x v="2"/>
    <x v="0"/>
    <x v="0"/>
    <x v="6"/>
    <x v="3"/>
    <x v="4"/>
    <x v="2"/>
  </r>
  <r>
    <s v="TX500736"/>
    <x v="8"/>
    <x v="1"/>
    <n v="35.700000000000003"/>
    <n v="71.400000000000006"/>
    <x v="31"/>
    <d v="2025-02-04T00:00:00"/>
    <x v="0"/>
    <x v="0"/>
    <x v="1"/>
    <x v="0"/>
    <x v="6"/>
    <x v="2"/>
    <x v="4"/>
    <x v="0"/>
  </r>
  <r>
    <s v="TX500737"/>
    <x v="10"/>
    <x v="1"/>
    <n v="52.4"/>
    <n v="104.8"/>
    <x v="31"/>
    <d v="2025-02-01T00:00:00"/>
    <x v="2"/>
    <x v="0"/>
    <x v="3"/>
    <x v="0"/>
    <x v="6"/>
    <x v="7"/>
    <x v="4"/>
    <x v="2"/>
  </r>
  <r>
    <s v="TX500738"/>
    <x v="8"/>
    <x v="21"/>
    <n v="16.2"/>
    <n v="226.79999999999998"/>
    <x v="31"/>
    <d v="2025-02-02T00:00:00"/>
    <x v="0"/>
    <x v="0"/>
    <x v="1"/>
    <x v="0"/>
    <x v="8"/>
    <x v="3"/>
    <x v="4"/>
    <x v="0"/>
  </r>
  <r>
    <s v="TX500739"/>
    <x v="6"/>
    <x v="35"/>
    <n v="42.8"/>
    <n v="2011.6"/>
    <x v="31"/>
    <d v="2025-02-02T00:00:00"/>
    <x v="2"/>
    <x v="0"/>
    <x v="0"/>
    <x v="0"/>
    <x v="8"/>
    <x v="3"/>
    <x v="4"/>
    <x v="2"/>
  </r>
  <r>
    <s v="TX500740"/>
    <x v="6"/>
    <x v="11"/>
    <n v="144.4"/>
    <n v="1299.6000000000001"/>
    <x v="31"/>
    <d v="2025-02-04T00:00:00"/>
    <x v="2"/>
    <x v="4"/>
    <x v="0"/>
    <x v="0"/>
    <x v="8"/>
    <x v="2"/>
    <x v="4"/>
    <x v="2"/>
  </r>
  <r>
    <s v="TX500741"/>
    <x v="3"/>
    <x v="34"/>
    <n v="30.6"/>
    <n v="1101.6000000000001"/>
    <x v="31"/>
    <d v="2025-02-05T00:00:00"/>
    <x v="2"/>
    <x v="2"/>
    <x v="2"/>
    <x v="0"/>
    <x v="11"/>
    <x v="5"/>
    <x v="4"/>
    <x v="2"/>
  </r>
  <r>
    <s v="TX500742"/>
    <x v="2"/>
    <x v="1"/>
    <n v="117.5"/>
    <n v="235"/>
    <x v="31"/>
    <d v="2025-02-02T00:00:00"/>
    <x v="1"/>
    <x v="0"/>
    <x v="0"/>
    <x v="0"/>
    <x v="19"/>
    <x v="3"/>
    <x v="4"/>
    <x v="1"/>
  </r>
  <r>
    <s v="TX500743"/>
    <x v="6"/>
    <x v="1"/>
    <n v="105.7"/>
    <n v="211.4"/>
    <x v="31"/>
    <d v="2025-02-02T00:00:00"/>
    <x v="2"/>
    <x v="2"/>
    <x v="2"/>
    <x v="0"/>
    <x v="21"/>
    <x v="3"/>
    <x v="4"/>
    <x v="2"/>
  </r>
  <r>
    <s v="TX500744"/>
    <x v="3"/>
    <x v="2"/>
    <n v="133.69999999999999"/>
    <n v="401.09999999999997"/>
    <x v="31"/>
    <d v="2025-02-02T00:00:00"/>
    <x v="0"/>
    <x v="4"/>
    <x v="2"/>
    <x v="0"/>
    <x v="21"/>
    <x v="3"/>
    <x v="4"/>
    <x v="0"/>
  </r>
  <r>
    <s v="TX500745"/>
    <x v="4"/>
    <x v="9"/>
    <n v="46.8"/>
    <n v="234"/>
    <x v="32"/>
    <d v="2025-02-10T00:00:00"/>
    <x v="2"/>
    <x v="0"/>
    <x v="1"/>
    <x v="0"/>
    <x v="21"/>
    <x v="9"/>
    <x v="5"/>
    <x v="2"/>
  </r>
  <r>
    <s v="TX500746"/>
    <x v="10"/>
    <x v="2"/>
    <n v="58.4"/>
    <n v="175.2"/>
    <x v="32"/>
    <d v="2025-02-04T00:00:00"/>
    <x v="2"/>
    <x v="0"/>
    <x v="0"/>
    <x v="0"/>
    <x v="1"/>
    <x v="1"/>
    <x v="5"/>
    <x v="2"/>
  </r>
  <r>
    <s v="TX500747"/>
    <x v="6"/>
    <x v="11"/>
    <n v="65.099999999999994"/>
    <n v="585.9"/>
    <x v="32"/>
    <d v="2025-02-06T00:00:00"/>
    <x v="1"/>
    <x v="1"/>
    <x v="2"/>
    <x v="0"/>
    <x v="22"/>
    <x v="5"/>
    <x v="5"/>
    <x v="1"/>
  </r>
  <r>
    <s v="TX500748"/>
    <x v="8"/>
    <x v="0"/>
    <n v="18.600000000000001"/>
    <n v="18.600000000000001"/>
    <x v="32"/>
    <d v="2025-02-05T00:00:00"/>
    <x v="2"/>
    <x v="0"/>
    <x v="4"/>
    <x v="0"/>
    <x v="22"/>
    <x v="2"/>
    <x v="5"/>
    <x v="2"/>
  </r>
  <r>
    <s v="TX500749"/>
    <x v="1"/>
    <x v="5"/>
    <n v="92.3"/>
    <n v="1015.3"/>
    <x v="32"/>
    <d v="2025-02-04T00:00:00"/>
    <x v="1"/>
    <x v="1"/>
    <x v="0"/>
    <x v="0"/>
    <x v="3"/>
    <x v="1"/>
    <x v="5"/>
    <x v="1"/>
  </r>
  <r>
    <s v="TX500750"/>
    <x v="6"/>
    <x v="2"/>
    <n v="81.7"/>
    <n v="245.10000000000002"/>
    <x v="32"/>
    <d v="2025-02-03T00:00:00"/>
    <x v="0"/>
    <x v="4"/>
    <x v="4"/>
    <x v="0"/>
    <x v="3"/>
    <x v="3"/>
    <x v="5"/>
    <x v="0"/>
  </r>
  <r>
    <s v="TX500751"/>
    <x v="8"/>
    <x v="1"/>
    <n v="40.9"/>
    <n v="81.8"/>
    <x v="32"/>
    <d v="2025-02-04T00:00:00"/>
    <x v="1"/>
    <x v="0"/>
    <x v="1"/>
    <x v="0"/>
    <x v="3"/>
    <x v="1"/>
    <x v="5"/>
    <x v="1"/>
  </r>
  <r>
    <s v="TX500752"/>
    <x v="6"/>
    <x v="12"/>
    <n v="43.2"/>
    <n v="172.8"/>
    <x v="32"/>
    <d v="2025-02-08T00:00:00"/>
    <x v="2"/>
    <x v="0"/>
    <x v="1"/>
    <x v="0"/>
    <x v="3"/>
    <x v="4"/>
    <x v="5"/>
    <x v="2"/>
  </r>
  <r>
    <s v="TX500753"/>
    <x v="8"/>
    <x v="5"/>
    <n v="25.8"/>
    <n v="283.8"/>
    <x v="32"/>
    <d v="2025-02-05T00:00:00"/>
    <x v="1"/>
    <x v="2"/>
    <x v="1"/>
    <x v="0"/>
    <x v="3"/>
    <x v="2"/>
    <x v="5"/>
    <x v="1"/>
  </r>
  <r>
    <s v="TX500754"/>
    <x v="15"/>
    <x v="12"/>
    <n v="36.4"/>
    <n v="145.6"/>
    <x v="32"/>
    <d v="2025-02-03T00:00:00"/>
    <x v="1"/>
    <x v="0"/>
    <x v="0"/>
    <x v="0"/>
    <x v="3"/>
    <x v="3"/>
    <x v="5"/>
    <x v="1"/>
  </r>
  <r>
    <s v="TX500755"/>
    <x v="10"/>
    <x v="0"/>
    <n v="59.1"/>
    <n v="59.1"/>
    <x v="32"/>
    <d v="2025-02-03T00:00:00"/>
    <x v="2"/>
    <x v="2"/>
    <x v="0"/>
    <x v="0"/>
    <x v="7"/>
    <x v="3"/>
    <x v="5"/>
    <x v="2"/>
  </r>
  <r>
    <s v="TX500756"/>
    <x v="2"/>
    <x v="14"/>
    <n v="74.5"/>
    <n v="1266.5"/>
    <x v="32"/>
    <d v="2025-02-04T00:00:00"/>
    <x v="1"/>
    <x v="4"/>
    <x v="0"/>
    <x v="0"/>
    <x v="18"/>
    <x v="1"/>
    <x v="5"/>
    <x v="1"/>
  </r>
  <r>
    <s v="TX500757"/>
    <x v="5"/>
    <x v="0"/>
    <n v="72.8"/>
    <n v="72.8"/>
    <x v="32"/>
    <d v="2025-02-03T00:00:00"/>
    <x v="2"/>
    <x v="0"/>
    <x v="1"/>
    <x v="0"/>
    <x v="19"/>
    <x v="3"/>
    <x v="5"/>
    <x v="2"/>
  </r>
  <r>
    <s v="TX500758"/>
    <x v="6"/>
    <x v="12"/>
    <n v="137.30000000000001"/>
    <n v="549.20000000000005"/>
    <x v="32"/>
    <d v="2025-02-05T00:00:00"/>
    <x v="2"/>
    <x v="0"/>
    <x v="0"/>
    <x v="0"/>
    <x v="13"/>
    <x v="2"/>
    <x v="5"/>
    <x v="2"/>
  </r>
  <r>
    <s v="TX500759"/>
    <x v="1"/>
    <x v="2"/>
    <n v="48.7"/>
    <n v="146.10000000000002"/>
    <x v="32"/>
    <d v="2025-02-07T00:00:00"/>
    <x v="2"/>
    <x v="0"/>
    <x v="1"/>
    <x v="0"/>
    <x v="21"/>
    <x v="0"/>
    <x v="5"/>
    <x v="2"/>
  </r>
  <r>
    <s v="TX500760"/>
    <x v="6"/>
    <x v="12"/>
    <n v="53.7"/>
    <n v="214.8"/>
    <x v="32"/>
    <d v="2025-02-06T00:00:00"/>
    <x v="1"/>
    <x v="1"/>
    <x v="4"/>
    <x v="0"/>
    <x v="2"/>
    <x v="5"/>
    <x v="5"/>
    <x v="1"/>
  </r>
  <r>
    <s v="TX500761"/>
    <x v="2"/>
    <x v="3"/>
    <n v="100.9"/>
    <n v="706.30000000000007"/>
    <x v="32"/>
    <d v="2025-02-04T00:00:00"/>
    <x v="2"/>
    <x v="0"/>
    <x v="1"/>
    <x v="0"/>
    <x v="2"/>
    <x v="1"/>
    <x v="5"/>
    <x v="2"/>
  </r>
  <r>
    <s v="TX500762"/>
    <x v="10"/>
    <x v="1"/>
    <n v="41.8"/>
    <n v="83.6"/>
    <x v="32"/>
    <d v="2025-02-06T00:00:00"/>
    <x v="1"/>
    <x v="3"/>
    <x v="2"/>
    <x v="0"/>
    <x v="22"/>
    <x v="5"/>
    <x v="5"/>
    <x v="1"/>
  </r>
  <r>
    <s v="TX500763"/>
    <x v="4"/>
    <x v="8"/>
    <n v="28.5"/>
    <n v="228"/>
    <x v="32"/>
    <d v="2025-02-04T00:00:00"/>
    <x v="1"/>
    <x v="2"/>
    <x v="1"/>
    <x v="0"/>
    <x v="3"/>
    <x v="1"/>
    <x v="5"/>
    <x v="1"/>
  </r>
  <r>
    <s v="TX500764"/>
    <x v="7"/>
    <x v="12"/>
    <n v="88.9"/>
    <n v="355.6"/>
    <x v="32"/>
    <d v="2025-02-05T00:00:00"/>
    <x v="2"/>
    <x v="0"/>
    <x v="2"/>
    <x v="0"/>
    <x v="3"/>
    <x v="2"/>
    <x v="5"/>
    <x v="2"/>
  </r>
  <r>
    <s v="TX500765"/>
    <x v="6"/>
    <x v="0"/>
    <n v="62.5"/>
    <n v="62.5"/>
    <x v="32"/>
    <d v="2025-02-11T00:00:00"/>
    <x v="2"/>
    <x v="0"/>
    <x v="2"/>
    <x v="0"/>
    <x v="3"/>
    <x v="8"/>
    <x v="5"/>
    <x v="2"/>
  </r>
  <r>
    <s v="TX500766"/>
    <x v="1"/>
    <x v="2"/>
    <n v="46.9"/>
    <n v="140.69999999999999"/>
    <x v="32"/>
    <d v="2025-02-03T00:00:00"/>
    <x v="1"/>
    <x v="0"/>
    <x v="2"/>
    <x v="0"/>
    <x v="3"/>
    <x v="3"/>
    <x v="5"/>
    <x v="1"/>
  </r>
  <r>
    <s v="TX500767"/>
    <x v="8"/>
    <x v="2"/>
    <n v="45"/>
    <n v="135"/>
    <x v="32"/>
    <d v="2025-02-16T00:00:00"/>
    <x v="1"/>
    <x v="1"/>
    <x v="0"/>
    <x v="0"/>
    <x v="3"/>
    <x v="12"/>
    <x v="5"/>
    <x v="1"/>
  </r>
  <r>
    <s v="TX500768"/>
    <x v="6"/>
    <x v="2"/>
    <n v="45.2"/>
    <n v="135.60000000000002"/>
    <x v="32"/>
    <d v="2025-02-04T00:00:00"/>
    <x v="1"/>
    <x v="4"/>
    <x v="2"/>
    <x v="0"/>
    <x v="3"/>
    <x v="1"/>
    <x v="5"/>
    <x v="1"/>
  </r>
  <r>
    <s v="TX500769"/>
    <x v="4"/>
    <x v="1"/>
    <n v="60.1"/>
    <n v="120.2"/>
    <x v="32"/>
    <d v="2025-02-03T00:00:00"/>
    <x v="2"/>
    <x v="0"/>
    <x v="2"/>
    <x v="0"/>
    <x v="3"/>
    <x v="3"/>
    <x v="5"/>
    <x v="2"/>
  </r>
  <r>
    <s v="TX500770"/>
    <x v="12"/>
    <x v="12"/>
    <n v="118.7"/>
    <n v="474.8"/>
    <x v="32"/>
    <d v="2025-02-04T00:00:00"/>
    <x v="2"/>
    <x v="0"/>
    <x v="0"/>
    <x v="0"/>
    <x v="3"/>
    <x v="1"/>
    <x v="5"/>
    <x v="2"/>
  </r>
  <r>
    <s v="TX500771"/>
    <x v="9"/>
    <x v="0"/>
    <n v="57.8"/>
    <n v="57.8"/>
    <x v="32"/>
    <d v="2025-02-11T00:00:00"/>
    <x v="2"/>
    <x v="1"/>
    <x v="0"/>
    <x v="0"/>
    <x v="3"/>
    <x v="8"/>
    <x v="5"/>
    <x v="2"/>
  </r>
  <r>
    <s v="TX500772"/>
    <x v="4"/>
    <x v="0"/>
    <n v="19.5"/>
    <n v="19.5"/>
    <x v="32"/>
    <d v="2025-02-03T00:00:00"/>
    <x v="1"/>
    <x v="1"/>
    <x v="1"/>
    <x v="0"/>
    <x v="3"/>
    <x v="3"/>
    <x v="5"/>
    <x v="1"/>
  </r>
  <r>
    <s v="TX500773"/>
    <x v="12"/>
    <x v="0"/>
    <n v="42.6"/>
    <n v="42.6"/>
    <x v="32"/>
    <d v="2025-02-03T00:00:00"/>
    <x v="1"/>
    <x v="0"/>
    <x v="1"/>
    <x v="0"/>
    <x v="3"/>
    <x v="3"/>
    <x v="5"/>
    <x v="1"/>
  </r>
  <r>
    <s v="TX500774"/>
    <x v="6"/>
    <x v="1"/>
    <n v="74.8"/>
    <n v="149.6"/>
    <x v="32"/>
    <d v="2025-02-03T00:00:00"/>
    <x v="2"/>
    <x v="3"/>
    <x v="2"/>
    <x v="0"/>
    <x v="37"/>
    <x v="3"/>
    <x v="5"/>
    <x v="2"/>
  </r>
  <r>
    <s v="TX500775"/>
    <x v="8"/>
    <x v="2"/>
    <n v="32.5"/>
    <n v="97.5"/>
    <x v="32"/>
    <d v="2025-02-03T00:00:00"/>
    <x v="1"/>
    <x v="2"/>
    <x v="4"/>
    <x v="0"/>
    <x v="16"/>
    <x v="3"/>
    <x v="5"/>
    <x v="1"/>
  </r>
  <r>
    <s v="TX500776"/>
    <x v="2"/>
    <x v="2"/>
    <n v="60.5"/>
    <n v="181.5"/>
    <x v="32"/>
    <d v="2025-02-02T00:00:00"/>
    <x v="2"/>
    <x v="1"/>
    <x v="2"/>
    <x v="0"/>
    <x v="25"/>
    <x v="7"/>
    <x v="5"/>
    <x v="2"/>
  </r>
  <r>
    <s v="TX500777"/>
    <x v="1"/>
    <x v="3"/>
    <n v="57.2"/>
    <n v="400.40000000000003"/>
    <x v="32"/>
    <d v="2025-02-04T00:00:00"/>
    <x v="0"/>
    <x v="2"/>
    <x v="0"/>
    <x v="0"/>
    <x v="25"/>
    <x v="1"/>
    <x v="5"/>
    <x v="0"/>
  </r>
  <r>
    <s v="TX500778"/>
    <x v="16"/>
    <x v="1"/>
    <n v="112"/>
    <n v="224"/>
    <x v="32"/>
    <d v="2025-02-03T00:00:00"/>
    <x v="2"/>
    <x v="1"/>
    <x v="1"/>
    <x v="0"/>
    <x v="5"/>
    <x v="3"/>
    <x v="5"/>
    <x v="2"/>
  </r>
  <r>
    <s v="TX500779"/>
    <x v="7"/>
    <x v="7"/>
    <n v="49"/>
    <n v="490"/>
    <x v="32"/>
    <d v="2025-02-03T00:00:00"/>
    <x v="3"/>
    <x v="2"/>
    <x v="1"/>
    <x v="0"/>
    <x v="6"/>
    <x v="3"/>
    <x v="5"/>
    <x v="3"/>
  </r>
  <r>
    <s v="TX500780"/>
    <x v="0"/>
    <x v="1"/>
    <n v="33.700000000000003"/>
    <n v="67.400000000000006"/>
    <x v="32"/>
    <d v="2025-02-06T00:00:00"/>
    <x v="2"/>
    <x v="3"/>
    <x v="0"/>
    <x v="0"/>
    <x v="6"/>
    <x v="5"/>
    <x v="5"/>
    <x v="2"/>
  </r>
  <r>
    <s v="TX500781"/>
    <x v="4"/>
    <x v="2"/>
    <n v="35.6"/>
    <n v="106.80000000000001"/>
    <x v="32"/>
    <d v="2025-02-05T00:00:00"/>
    <x v="2"/>
    <x v="0"/>
    <x v="2"/>
    <x v="0"/>
    <x v="6"/>
    <x v="2"/>
    <x v="5"/>
    <x v="2"/>
  </r>
  <r>
    <s v="TX500782"/>
    <x v="4"/>
    <x v="36"/>
    <n v="30.4"/>
    <n v="1064"/>
    <x v="33"/>
    <d v="2025-02-03T00:00:00"/>
    <x v="2"/>
    <x v="0"/>
    <x v="1"/>
    <x v="0"/>
    <x v="7"/>
    <x v="7"/>
    <x v="5"/>
    <x v="2"/>
  </r>
  <r>
    <s v="TX500783"/>
    <x v="10"/>
    <x v="4"/>
    <n v="50.2"/>
    <n v="602.40000000000009"/>
    <x v="33"/>
    <d v="2025-02-04T00:00:00"/>
    <x v="1"/>
    <x v="4"/>
    <x v="0"/>
    <x v="0"/>
    <x v="8"/>
    <x v="3"/>
    <x v="5"/>
    <x v="1"/>
  </r>
  <r>
    <s v="TX500784"/>
    <x v="1"/>
    <x v="1"/>
    <n v="43.7"/>
    <n v="87.4"/>
    <x v="33"/>
    <d v="2025-02-05T00:00:00"/>
    <x v="2"/>
    <x v="0"/>
    <x v="0"/>
    <x v="0"/>
    <x v="8"/>
    <x v="1"/>
    <x v="5"/>
    <x v="2"/>
  </r>
  <r>
    <s v="TX500785"/>
    <x v="10"/>
    <x v="0"/>
    <n v="33.299999999999997"/>
    <n v="33.299999999999997"/>
    <x v="33"/>
    <d v="2025-02-04T00:00:00"/>
    <x v="2"/>
    <x v="2"/>
    <x v="1"/>
    <x v="0"/>
    <x v="8"/>
    <x v="3"/>
    <x v="5"/>
    <x v="2"/>
  </r>
  <r>
    <s v="TX500786"/>
    <x v="8"/>
    <x v="12"/>
    <n v="15.1"/>
    <n v="60.4"/>
    <x v="33"/>
    <d v="2025-02-05T00:00:00"/>
    <x v="2"/>
    <x v="4"/>
    <x v="2"/>
    <x v="0"/>
    <x v="8"/>
    <x v="1"/>
    <x v="5"/>
    <x v="2"/>
  </r>
  <r>
    <s v="TX500787"/>
    <x v="6"/>
    <x v="9"/>
    <n v="118.2"/>
    <n v="591"/>
    <x v="33"/>
    <d v="2025-02-04T00:00:00"/>
    <x v="2"/>
    <x v="3"/>
    <x v="4"/>
    <x v="0"/>
    <x v="8"/>
    <x v="3"/>
    <x v="5"/>
    <x v="2"/>
  </r>
  <r>
    <s v="TX500788"/>
    <x v="10"/>
    <x v="2"/>
    <n v="28.9"/>
    <n v="86.699999999999989"/>
    <x v="33"/>
    <d v="2025-02-05T00:00:00"/>
    <x v="2"/>
    <x v="2"/>
    <x v="1"/>
    <x v="0"/>
    <x v="8"/>
    <x v="1"/>
    <x v="5"/>
    <x v="2"/>
  </r>
  <r>
    <s v="TX500789"/>
    <x v="4"/>
    <x v="2"/>
    <n v="55.6"/>
    <n v="166.8"/>
    <x v="33"/>
    <d v="2025-02-04T00:00:00"/>
    <x v="1"/>
    <x v="0"/>
    <x v="1"/>
    <x v="0"/>
    <x v="8"/>
    <x v="3"/>
    <x v="5"/>
    <x v="1"/>
  </r>
  <r>
    <s v="TX500790"/>
    <x v="9"/>
    <x v="12"/>
    <n v="25.6"/>
    <n v="102.4"/>
    <x v="33"/>
    <d v="2025-02-05T00:00:00"/>
    <x v="2"/>
    <x v="0"/>
    <x v="1"/>
    <x v="0"/>
    <x v="8"/>
    <x v="1"/>
    <x v="5"/>
    <x v="2"/>
  </r>
  <r>
    <s v="TX500791"/>
    <x v="7"/>
    <x v="2"/>
    <n v="31.3"/>
    <n v="93.9"/>
    <x v="33"/>
    <d v="2025-02-04T00:00:00"/>
    <x v="1"/>
    <x v="0"/>
    <x v="0"/>
    <x v="0"/>
    <x v="17"/>
    <x v="3"/>
    <x v="5"/>
    <x v="1"/>
  </r>
  <r>
    <s v="TX500792"/>
    <x v="0"/>
    <x v="2"/>
    <n v="22.1"/>
    <n v="66.300000000000011"/>
    <x v="33"/>
    <d v="2025-02-07T00:00:00"/>
    <x v="1"/>
    <x v="0"/>
    <x v="0"/>
    <x v="0"/>
    <x v="17"/>
    <x v="5"/>
    <x v="5"/>
    <x v="1"/>
  </r>
  <r>
    <s v="TX500793"/>
    <x v="2"/>
    <x v="21"/>
    <n v="99.4"/>
    <n v="1391.6000000000001"/>
    <x v="33"/>
    <d v="2025-02-04T00:00:00"/>
    <x v="1"/>
    <x v="1"/>
    <x v="0"/>
    <x v="0"/>
    <x v="11"/>
    <x v="3"/>
    <x v="5"/>
    <x v="1"/>
  </r>
  <r>
    <s v="TX500794"/>
    <x v="7"/>
    <x v="13"/>
    <n v="66.599999999999994"/>
    <n v="399.59999999999997"/>
    <x v="33"/>
    <d v="2025-02-04T00:00:00"/>
    <x v="2"/>
    <x v="0"/>
    <x v="0"/>
    <x v="0"/>
    <x v="11"/>
    <x v="3"/>
    <x v="5"/>
    <x v="2"/>
  </r>
  <r>
    <s v="TX500795"/>
    <x v="8"/>
    <x v="1"/>
    <n v="22.6"/>
    <n v="45.2"/>
    <x v="33"/>
    <d v="2025-02-06T00:00:00"/>
    <x v="1"/>
    <x v="0"/>
    <x v="0"/>
    <x v="0"/>
    <x v="11"/>
    <x v="2"/>
    <x v="5"/>
    <x v="1"/>
  </r>
  <r>
    <s v="TX500796"/>
    <x v="2"/>
    <x v="16"/>
    <n v="66.8"/>
    <n v="1202.3999999999999"/>
    <x v="33"/>
    <d v="2025-02-04T00:00:00"/>
    <x v="2"/>
    <x v="0"/>
    <x v="4"/>
    <x v="0"/>
    <x v="13"/>
    <x v="3"/>
    <x v="5"/>
    <x v="2"/>
  </r>
  <r>
    <s v="TX500797"/>
    <x v="0"/>
    <x v="12"/>
    <n v="20.8"/>
    <n v="83.2"/>
    <x v="33"/>
    <d v="2025-02-10T00:00:00"/>
    <x v="1"/>
    <x v="1"/>
    <x v="4"/>
    <x v="0"/>
    <x v="1"/>
    <x v="6"/>
    <x v="5"/>
    <x v="1"/>
  </r>
  <r>
    <s v="TX500798"/>
    <x v="2"/>
    <x v="3"/>
    <n v="102.5"/>
    <n v="717.5"/>
    <x v="33"/>
    <d v="2025-02-04T00:00:00"/>
    <x v="2"/>
    <x v="4"/>
    <x v="2"/>
    <x v="0"/>
    <x v="3"/>
    <x v="3"/>
    <x v="5"/>
    <x v="2"/>
  </r>
  <r>
    <s v="TX500799"/>
    <x v="0"/>
    <x v="16"/>
    <n v="24.8"/>
    <n v="446.40000000000003"/>
    <x v="33"/>
    <d v="2025-02-07T00:00:00"/>
    <x v="2"/>
    <x v="0"/>
    <x v="0"/>
    <x v="0"/>
    <x v="3"/>
    <x v="5"/>
    <x v="5"/>
    <x v="2"/>
  </r>
  <r>
    <s v="TX500800"/>
    <x v="4"/>
    <x v="37"/>
    <n v="31.4"/>
    <n v="973.4"/>
    <x v="33"/>
    <d v="2025-02-04T00:00:00"/>
    <x v="2"/>
    <x v="3"/>
    <x v="0"/>
    <x v="0"/>
    <x v="3"/>
    <x v="3"/>
    <x v="5"/>
    <x v="2"/>
  </r>
  <r>
    <s v="TX500801"/>
    <x v="9"/>
    <x v="9"/>
    <n v="59.3"/>
    <n v="296.5"/>
    <x v="33"/>
    <d v="2025-02-06T00:00:00"/>
    <x v="1"/>
    <x v="1"/>
    <x v="2"/>
    <x v="0"/>
    <x v="43"/>
    <x v="2"/>
    <x v="5"/>
    <x v="1"/>
  </r>
  <r>
    <s v="TX500802"/>
    <x v="11"/>
    <x v="13"/>
    <n v="39"/>
    <n v="234"/>
    <x v="33"/>
    <d v="2025-02-06T00:00:00"/>
    <x v="1"/>
    <x v="1"/>
    <x v="0"/>
    <x v="0"/>
    <x v="6"/>
    <x v="2"/>
    <x v="5"/>
    <x v="1"/>
  </r>
  <r>
    <s v="TX500803"/>
    <x v="5"/>
    <x v="13"/>
    <n v="98.6"/>
    <n v="591.59999999999991"/>
    <x v="33"/>
    <d v="2025-02-05T00:00:00"/>
    <x v="2"/>
    <x v="1"/>
    <x v="0"/>
    <x v="0"/>
    <x v="6"/>
    <x v="1"/>
    <x v="5"/>
    <x v="2"/>
  </r>
  <r>
    <s v="TX500804"/>
    <x v="8"/>
    <x v="0"/>
    <n v="20"/>
    <n v="20"/>
    <x v="34"/>
    <d v="2025-02-05T00:00:00"/>
    <x v="1"/>
    <x v="3"/>
    <x v="2"/>
    <x v="0"/>
    <x v="8"/>
    <x v="3"/>
    <x v="5"/>
    <x v="1"/>
  </r>
  <r>
    <s v="TX500805"/>
    <x v="1"/>
    <x v="1"/>
    <n v="42.9"/>
    <n v="85.8"/>
    <x v="34"/>
    <d v="2025-02-06T00:00:00"/>
    <x v="2"/>
    <x v="0"/>
    <x v="2"/>
    <x v="0"/>
    <x v="8"/>
    <x v="1"/>
    <x v="5"/>
    <x v="2"/>
  </r>
  <r>
    <s v="TX500806"/>
    <x v="7"/>
    <x v="3"/>
    <n v="55.6"/>
    <n v="389.2"/>
    <x v="34"/>
    <d v="2025-02-06T00:00:00"/>
    <x v="2"/>
    <x v="2"/>
    <x v="1"/>
    <x v="0"/>
    <x v="8"/>
    <x v="1"/>
    <x v="5"/>
    <x v="2"/>
  </r>
  <r>
    <s v="TX500807"/>
    <x v="8"/>
    <x v="12"/>
    <n v="19.2"/>
    <n v="76.8"/>
    <x v="34"/>
    <d v="2025-02-09T00:00:00"/>
    <x v="2"/>
    <x v="0"/>
    <x v="0"/>
    <x v="0"/>
    <x v="41"/>
    <x v="0"/>
    <x v="5"/>
    <x v="2"/>
  </r>
  <r>
    <s v="TX500808"/>
    <x v="5"/>
    <x v="1"/>
    <n v="28.8"/>
    <n v="57.6"/>
    <x v="34"/>
    <d v="2025-02-06T00:00:00"/>
    <x v="1"/>
    <x v="1"/>
    <x v="0"/>
    <x v="0"/>
    <x v="18"/>
    <x v="1"/>
    <x v="5"/>
    <x v="1"/>
  </r>
  <r>
    <s v="TX500809"/>
    <x v="4"/>
    <x v="0"/>
    <n v="29.7"/>
    <n v="29.7"/>
    <x v="34"/>
    <d v="2025-02-06T00:00:00"/>
    <x v="2"/>
    <x v="2"/>
    <x v="4"/>
    <x v="0"/>
    <x v="20"/>
    <x v="1"/>
    <x v="5"/>
    <x v="2"/>
  </r>
  <r>
    <s v="TX500810"/>
    <x v="6"/>
    <x v="13"/>
    <n v="63.3"/>
    <n v="379.79999999999995"/>
    <x v="34"/>
    <d v="2025-02-05T00:00:00"/>
    <x v="0"/>
    <x v="0"/>
    <x v="2"/>
    <x v="0"/>
    <x v="21"/>
    <x v="3"/>
    <x v="5"/>
    <x v="0"/>
  </r>
  <r>
    <s v="TX500811"/>
    <x v="4"/>
    <x v="0"/>
    <n v="46"/>
    <n v="46"/>
    <x v="34"/>
    <d v="2025-02-05T00:00:00"/>
    <x v="2"/>
    <x v="0"/>
    <x v="2"/>
    <x v="0"/>
    <x v="21"/>
    <x v="3"/>
    <x v="5"/>
    <x v="2"/>
  </r>
  <r>
    <s v="TX500812"/>
    <x v="11"/>
    <x v="2"/>
    <n v="38"/>
    <n v="114"/>
    <x v="34"/>
    <d v="2025-02-06T00:00:00"/>
    <x v="2"/>
    <x v="1"/>
    <x v="2"/>
    <x v="0"/>
    <x v="21"/>
    <x v="1"/>
    <x v="5"/>
    <x v="2"/>
  </r>
  <r>
    <s v="TX500813"/>
    <x v="10"/>
    <x v="15"/>
    <n v="34.6"/>
    <n v="449.8"/>
    <x v="34"/>
    <d v="2025-02-06T00:00:00"/>
    <x v="2"/>
    <x v="0"/>
    <x v="1"/>
    <x v="0"/>
    <x v="21"/>
    <x v="1"/>
    <x v="5"/>
    <x v="2"/>
  </r>
  <r>
    <s v="TX500814"/>
    <x v="3"/>
    <x v="7"/>
    <n v="79.7"/>
    <n v="797"/>
    <x v="34"/>
    <d v="2025-02-05T00:00:00"/>
    <x v="2"/>
    <x v="4"/>
    <x v="1"/>
    <x v="0"/>
    <x v="21"/>
    <x v="3"/>
    <x v="5"/>
    <x v="2"/>
  </r>
  <r>
    <s v="TX500815"/>
    <x v="8"/>
    <x v="8"/>
    <n v="30.5"/>
    <n v="244"/>
    <x v="34"/>
    <d v="2025-02-08T00:00:00"/>
    <x v="1"/>
    <x v="3"/>
    <x v="0"/>
    <x v="0"/>
    <x v="1"/>
    <x v="5"/>
    <x v="5"/>
    <x v="1"/>
  </r>
  <r>
    <s v="TX500816"/>
    <x v="0"/>
    <x v="1"/>
    <n v="20.8"/>
    <n v="41.6"/>
    <x v="34"/>
    <d v="2025-02-05T00:00:00"/>
    <x v="2"/>
    <x v="0"/>
    <x v="0"/>
    <x v="0"/>
    <x v="2"/>
    <x v="3"/>
    <x v="5"/>
    <x v="2"/>
  </r>
  <r>
    <s v="TX500817"/>
    <x v="11"/>
    <x v="3"/>
    <n v="48.5"/>
    <n v="339.5"/>
    <x v="34"/>
    <d v="2025-02-08T00:00:00"/>
    <x v="2"/>
    <x v="2"/>
    <x v="2"/>
    <x v="0"/>
    <x v="2"/>
    <x v="5"/>
    <x v="5"/>
    <x v="2"/>
  </r>
  <r>
    <s v="TX500818"/>
    <x v="2"/>
    <x v="12"/>
    <n v="61.8"/>
    <n v="247.2"/>
    <x v="34"/>
    <d v="2025-02-08T00:00:00"/>
    <x v="2"/>
    <x v="4"/>
    <x v="0"/>
    <x v="0"/>
    <x v="22"/>
    <x v="5"/>
    <x v="5"/>
    <x v="2"/>
  </r>
  <r>
    <s v="TX500819"/>
    <x v="10"/>
    <x v="0"/>
    <n v="46.1"/>
    <n v="46.1"/>
    <x v="34"/>
    <d v="2025-02-05T00:00:00"/>
    <x v="3"/>
    <x v="2"/>
    <x v="0"/>
    <x v="0"/>
    <x v="3"/>
    <x v="3"/>
    <x v="5"/>
    <x v="3"/>
  </r>
  <r>
    <s v="TX500820"/>
    <x v="4"/>
    <x v="13"/>
    <n v="44"/>
    <n v="264"/>
    <x v="34"/>
    <d v="2025-02-05T00:00:00"/>
    <x v="2"/>
    <x v="0"/>
    <x v="0"/>
    <x v="0"/>
    <x v="3"/>
    <x v="3"/>
    <x v="5"/>
    <x v="2"/>
  </r>
  <r>
    <s v="TX500821"/>
    <x v="18"/>
    <x v="1"/>
    <n v="95.7"/>
    <n v="191.4"/>
    <x v="34"/>
    <d v="2025-02-10T00:00:00"/>
    <x v="2"/>
    <x v="3"/>
    <x v="2"/>
    <x v="0"/>
    <x v="3"/>
    <x v="4"/>
    <x v="5"/>
    <x v="2"/>
  </r>
  <r>
    <s v="TX500822"/>
    <x v="7"/>
    <x v="9"/>
    <n v="46.4"/>
    <n v="232"/>
    <x v="34"/>
    <d v="2025-02-07T00:00:00"/>
    <x v="2"/>
    <x v="0"/>
    <x v="0"/>
    <x v="0"/>
    <x v="3"/>
    <x v="2"/>
    <x v="5"/>
    <x v="2"/>
  </r>
  <r>
    <s v="TX500823"/>
    <x v="6"/>
    <x v="1"/>
    <n v="47.2"/>
    <n v="94.4"/>
    <x v="34"/>
    <d v="2025-02-06T00:00:00"/>
    <x v="2"/>
    <x v="0"/>
    <x v="2"/>
    <x v="0"/>
    <x v="3"/>
    <x v="1"/>
    <x v="5"/>
    <x v="2"/>
  </r>
  <r>
    <s v="TX500824"/>
    <x v="7"/>
    <x v="1"/>
    <n v="58.6"/>
    <n v="117.2"/>
    <x v="34"/>
    <d v="2025-02-05T00:00:00"/>
    <x v="2"/>
    <x v="2"/>
    <x v="1"/>
    <x v="0"/>
    <x v="3"/>
    <x v="3"/>
    <x v="5"/>
    <x v="2"/>
  </r>
  <r>
    <s v="TX500825"/>
    <x v="4"/>
    <x v="2"/>
    <n v="57"/>
    <n v="171"/>
    <x v="34"/>
    <d v="2025-02-05T00:00:00"/>
    <x v="1"/>
    <x v="0"/>
    <x v="2"/>
    <x v="0"/>
    <x v="3"/>
    <x v="3"/>
    <x v="5"/>
    <x v="1"/>
  </r>
  <r>
    <s v="TX500826"/>
    <x v="8"/>
    <x v="12"/>
    <n v="28.9"/>
    <n v="115.6"/>
    <x v="34"/>
    <d v="2025-02-08T00:00:00"/>
    <x v="1"/>
    <x v="2"/>
    <x v="0"/>
    <x v="0"/>
    <x v="3"/>
    <x v="5"/>
    <x v="5"/>
    <x v="1"/>
  </r>
  <r>
    <s v="TX500827"/>
    <x v="12"/>
    <x v="9"/>
    <n v="60.7"/>
    <n v="303.5"/>
    <x v="34"/>
    <d v="2025-02-08T00:00:00"/>
    <x v="0"/>
    <x v="1"/>
    <x v="1"/>
    <x v="0"/>
    <x v="3"/>
    <x v="5"/>
    <x v="5"/>
    <x v="0"/>
  </r>
  <r>
    <s v="TX500828"/>
    <x v="6"/>
    <x v="9"/>
    <n v="60.8"/>
    <n v="304"/>
    <x v="34"/>
    <d v="2025-02-08T00:00:00"/>
    <x v="1"/>
    <x v="0"/>
    <x v="1"/>
    <x v="0"/>
    <x v="3"/>
    <x v="5"/>
    <x v="5"/>
    <x v="1"/>
  </r>
  <r>
    <s v="TX500829"/>
    <x v="6"/>
    <x v="9"/>
    <n v="64.599999999999994"/>
    <n v="323"/>
    <x v="34"/>
    <d v="2025-02-05T00:00:00"/>
    <x v="2"/>
    <x v="3"/>
    <x v="0"/>
    <x v="0"/>
    <x v="3"/>
    <x v="3"/>
    <x v="5"/>
    <x v="2"/>
  </r>
  <r>
    <s v="TX500830"/>
    <x v="8"/>
    <x v="0"/>
    <n v="21.9"/>
    <n v="21.9"/>
    <x v="34"/>
    <d v="2025-02-07T00:00:00"/>
    <x v="1"/>
    <x v="1"/>
    <x v="2"/>
    <x v="0"/>
    <x v="4"/>
    <x v="2"/>
    <x v="5"/>
    <x v="1"/>
  </r>
  <r>
    <s v="TX500831"/>
    <x v="4"/>
    <x v="4"/>
    <n v="33.4"/>
    <n v="400.79999999999995"/>
    <x v="34"/>
    <d v="2025-02-06T00:00:00"/>
    <x v="2"/>
    <x v="0"/>
    <x v="0"/>
    <x v="0"/>
    <x v="23"/>
    <x v="1"/>
    <x v="5"/>
    <x v="2"/>
  </r>
  <r>
    <s v="TX500832"/>
    <x v="2"/>
    <x v="0"/>
    <n v="51.7"/>
    <n v="51.7"/>
    <x v="34"/>
    <d v="2025-02-05T00:00:00"/>
    <x v="0"/>
    <x v="0"/>
    <x v="0"/>
    <x v="0"/>
    <x v="6"/>
    <x v="3"/>
    <x v="5"/>
    <x v="0"/>
  </r>
  <r>
    <s v="TX500833"/>
    <x v="1"/>
    <x v="12"/>
    <n v="84.9"/>
    <n v="339.6"/>
    <x v="34"/>
    <d v="2025-02-05T00:00:00"/>
    <x v="2"/>
    <x v="1"/>
    <x v="1"/>
    <x v="0"/>
    <x v="6"/>
    <x v="3"/>
    <x v="5"/>
    <x v="2"/>
  </r>
  <r>
    <s v="TX500834"/>
    <x v="1"/>
    <x v="5"/>
    <n v="62.3"/>
    <n v="685.3"/>
    <x v="34"/>
    <d v="2025-02-05T00:00:00"/>
    <x v="2"/>
    <x v="2"/>
    <x v="2"/>
    <x v="0"/>
    <x v="7"/>
    <x v="3"/>
    <x v="5"/>
    <x v="2"/>
  </r>
  <r>
    <s v="TX500835"/>
    <x v="4"/>
    <x v="0"/>
    <n v="50.7"/>
    <n v="50.7"/>
    <x v="34"/>
    <d v="2025-02-06T00:00:00"/>
    <x v="1"/>
    <x v="2"/>
    <x v="2"/>
    <x v="0"/>
    <x v="8"/>
    <x v="1"/>
    <x v="5"/>
    <x v="1"/>
  </r>
  <r>
    <s v="TX500836"/>
    <x v="18"/>
    <x v="0"/>
    <n v="39.5"/>
    <n v="39.5"/>
    <x v="34"/>
    <d v="2025-02-05T00:00:00"/>
    <x v="1"/>
    <x v="4"/>
    <x v="1"/>
    <x v="0"/>
    <x v="8"/>
    <x v="3"/>
    <x v="5"/>
    <x v="1"/>
  </r>
  <r>
    <s v="TX500837"/>
    <x v="12"/>
    <x v="2"/>
    <n v="30.9"/>
    <n v="92.699999999999989"/>
    <x v="34"/>
    <d v="2025-02-05T00:00:00"/>
    <x v="0"/>
    <x v="4"/>
    <x v="2"/>
    <x v="0"/>
    <x v="8"/>
    <x v="3"/>
    <x v="5"/>
    <x v="0"/>
  </r>
  <r>
    <s v="TX500838"/>
    <x v="1"/>
    <x v="3"/>
    <n v="36.4"/>
    <n v="254.79999999999998"/>
    <x v="34"/>
    <d v="2025-02-07T00:00:00"/>
    <x v="2"/>
    <x v="0"/>
    <x v="2"/>
    <x v="0"/>
    <x v="8"/>
    <x v="2"/>
    <x v="5"/>
    <x v="2"/>
  </r>
  <r>
    <s v="TX500839"/>
    <x v="6"/>
    <x v="8"/>
    <n v="105.6"/>
    <n v="844.8"/>
    <x v="34"/>
    <d v="2025-02-14T00:00:00"/>
    <x v="2"/>
    <x v="0"/>
    <x v="0"/>
    <x v="0"/>
    <x v="8"/>
    <x v="14"/>
    <x v="5"/>
    <x v="2"/>
  </r>
  <r>
    <s v="TX500840"/>
    <x v="8"/>
    <x v="1"/>
    <n v="22.1"/>
    <n v="44.2"/>
    <x v="34"/>
    <d v="2025-02-05T00:00:00"/>
    <x v="2"/>
    <x v="0"/>
    <x v="2"/>
    <x v="0"/>
    <x v="17"/>
    <x v="3"/>
    <x v="5"/>
    <x v="2"/>
  </r>
  <r>
    <s v="TX500841"/>
    <x v="0"/>
    <x v="2"/>
    <n v="22.6"/>
    <n v="67.800000000000011"/>
    <x v="34"/>
    <d v="2025-02-05T00:00:00"/>
    <x v="2"/>
    <x v="2"/>
    <x v="0"/>
    <x v="0"/>
    <x v="17"/>
    <x v="3"/>
    <x v="5"/>
    <x v="2"/>
  </r>
  <r>
    <s v="TX500842"/>
    <x v="10"/>
    <x v="13"/>
    <n v="26.3"/>
    <n v="157.80000000000001"/>
    <x v="34"/>
    <d v="2025-02-04T00:00:00"/>
    <x v="2"/>
    <x v="2"/>
    <x v="0"/>
    <x v="0"/>
    <x v="9"/>
    <x v="7"/>
    <x v="5"/>
    <x v="2"/>
  </r>
  <r>
    <s v="TX500843"/>
    <x v="1"/>
    <x v="12"/>
    <n v="37.799999999999997"/>
    <n v="151.19999999999999"/>
    <x v="34"/>
    <d v="2025-02-05T00:00:00"/>
    <x v="2"/>
    <x v="0"/>
    <x v="2"/>
    <x v="0"/>
    <x v="11"/>
    <x v="3"/>
    <x v="5"/>
    <x v="2"/>
  </r>
  <r>
    <s v="TX500844"/>
    <x v="6"/>
    <x v="14"/>
    <n v="96"/>
    <n v="1632"/>
    <x v="34"/>
    <d v="2025-02-07T00:00:00"/>
    <x v="2"/>
    <x v="4"/>
    <x v="1"/>
    <x v="0"/>
    <x v="18"/>
    <x v="2"/>
    <x v="5"/>
    <x v="2"/>
  </r>
  <r>
    <s v="TX500845"/>
    <x v="1"/>
    <x v="0"/>
    <n v="83.6"/>
    <n v="83.6"/>
    <x v="34"/>
    <d v="2025-02-07T00:00:00"/>
    <x v="2"/>
    <x v="2"/>
    <x v="1"/>
    <x v="0"/>
    <x v="19"/>
    <x v="2"/>
    <x v="5"/>
    <x v="2"/>
  </r>
  <r>
    <s v="TX500846"/>
    <x v="2"/>
    <x v="13"/>
    <n v="72.599999999999994"/>
    <n v="435.59999999999997"/>
    <x v="34"/>
    <d v="2025-02-05T00:00:00"/>
    <x v="2"/>
    <x v="0"/>
    <x v="0"/>
    <x v="0"/>
    <x v="21"/>
    <x v="3"/>
    <x v="5"/>
    <x v="2"/>
  </r>
  <r>
    <s v="TX500847"/>
    <x v="5"/>
    <x v="28"/>
    <n v="69.099999999999994"/>
    <n v="1382"/>
    <x v="35"/>
    <d v="2025-02-11T00:00:00"/>
    <x v="1"/>
    <x v="0"/>
    <x v="2"/>
    <x v="0"/>
    <x v="21"/>
    <x v="4"/>
    <x v="5"/>
    <x v="1"/>
  </r>
  <r>
    <s v="TX500848"/>
    <x v="4"/>
    <x v="1"/>
    <n v="22.6"/>
    <n v="45.2"/>
    <x v="35"/>
    <d v="2025-02-07T00:00:00"/>
    <x v="2"/>
    <x v="1"/>
    <x v="2"/>
    <x v="0"/>
    <x v="21"/>
    <x v="1"/>
    <x v="5"/>
    <x v="2"/>
  </r>
  <r>
    <s v="TX500849"/>
    <x v="6"/>
    <x v="1"/>
    <n v="45.3"/>
    <n v="90.6"/>
    <x v="35"/>
    <d v="2025-02-09T00:00:00"/>
    <x v="1"/>
    <x v="4"/>
    <x v="2"/>
    <x v="0"/>
    <x v="21"/>
    <x v="5"/>
    <x v="5"/>
    <x v="1"/>
  </r>
  <r>
    <s v="TX500850"/>
    <x v="2"/>
    <x v="1"/>
    <n v="115.1"/>
    <n v="230.2"/>
    <x v="35"/>
    <d v="2025-02-06T00:00:00"/>
    <x v="2"/>
    <x v="1"/>
    <x v="0"/>
    <x v="0"/>
    <x v="1"/>
    <x v="3"/>
    <x v="5"/>
    <x v="2"/>
  </r>
  <r>
    <s v="TX500851"/>
    <x v="18"/>
    <x v="12"/>
    <n v="79"/>
    <n v="316"/>
    <x v="35"/>
    <d v="2025-02-07T00:00:00"/>
    <x v="1"/>
    <x v="2"/>
    <x v="4"/>
    <x v="0"/>
    <x v="1"/>
    <x v="1"/>
    <x v="5"/>
    <x v="1"/>
  </r>
  <r>
    <s v="TX500852"/>
    <x v="6"/>
    <x v="9"/>
    <n v="52.8"/>
    <n v="264"/>
    <x v="35"/>
    <d v="2025-02-06T00:00:00"/>
    <x v="2"/>
    <x v="0"/>
    <x v="0"/>
    <x v="0"/>
    <x v="42"/>
    <x v="3"/>
    <x v="5"/>
    <x v="2"/>
  </r>
  <r>
    <s v="TX500853"/>
    <x v="8"/>
    <x v="1"/>
    <n v="34.1"/>
    <n v="68.2"/>
    <x v="35"/>
    <d v="2025-02-06T00:00:00"/>
    <x v="1"/>
    <x v="3"/>
    <x v="2"/>
    <x v="0"/>
    <x v="44"/>
    <x v="3"/>
    <x v="5"/>
    <x v="1"/>
  </r>
  <r>
    <s v="TX500854"/>
    <x v="6"/>
    <x v="9"/>
    <n v="107.9"/>
    <n v="539.5"/>
    <x v="35"/>
    <d v="2025-02-05T00:00:00"/>
    <x v="2"/>
    <x v="0"/>
    <x v="2"/>
    <x v="0"/>
    <x v="50"/>
    <x v="7"/>
    <x v="5"/>
    <x v="2"/>
  </r>
  <r>
    <s v="TX500855"/>
    <x v="8"/>
    <x v="15"/>
    <n v="48.5"/>
    <n v="630.5"/>
    <x v="35"/>
    <d v="2025-02-05T00:00:00"/>
    <x v="1"/>
    <x v="2"/>
    <x v="2"/>
    <x v="0"/>
    <x v="3"/>
    <x v="7"/>
    <x v="5"/>
    <x v="1"/>
  </r>
  <r>
    <s v="TX500856"/>
    <x v="5"/>
    <x v="2"/>
    <n v="34.700000000000003"/>
    <n v="104.10000000000001"/>
    <x v="35"/>
    <d v="2025-02-06T00:00:00"/>
    <x v="0"/>
    <x v="4"/>
    <x v="1"/>
    <x v="0"/>
    <x v="3"/>
    <x v="3"/>
    <x v="5"/>
    <x v="0"/>
  </r>
  <r>
    <s v="TX500857"/>
    <x v="8"/>
    <x v="0"/>
    <n v="16.8"/>
    <n v="16.8"/>
    <x v="35"/>
    <d v="2025-02-07T00:00:00"/>
    <x v="2"/>
    <x v="3"/>
    <x v="0"/>
    <x v="0"/>
    <x v="3"/>
    <x v="1"/>
    <x v="5"/>
    <x v="2"/>
  </r>
  <r>
    <s v="TX500858"/>
    <x v="8"/>
    <x v="13"/>
    <n v="18.3"/>
    <n v="109.80000000000001"/>
    <x v="35"/>
    <d v="2025-02-08T00:00:00"/>
    <x v="2"/>
    <x v="0"/>
    <x v="0"/>
    <x v="0"/>
    <x v="3"/>
    <x v="2"/>
    <x v="5"/>
    <x v="2"/>
  </r>
  <r>
    <s v="TX500859"/>
    <x v="18"/>
    <x v="2"/>
    <n v="55.9"/>
    <n v="167.7"/>
    <x v="35"/>
    <d v="2025-02-11T00:00:00"/>
    <x v="1"/>
    <x v="3"/>
    <x v="1"/>
    <x v="0"/>
    <x v="3"/>
    <x v="4"/>
    <x v="5"/>
    <x v="1"/>
  </r>
  <r>
    <s v="TX500860"/>
    <x v="8"/>
    <x v="2"/>
    <n v="39.200000000000003"/>
    <n v="117.60000000000001"/>
    <x v="35"/>
    <d v="2025-02-07T00:00:00"/>
    <x v="2"/>
    <x v="0"/>
    <x v="1"/>
    <x v="0"/>
    <x v="3"/>
    <x v="1"/>
    <x v="5"/>
    <x v="2"/>
  </r>
  <r>
    <s v="TX500861"/>
    <x v="15"/>
    <x v="12"/>
    <n v="66.5"/>
    <n v="266"/>
    <x v="35"/>
    <d v="2025-02-07T00:00:00"/>
    <x v="0"/>
    <x v="3"/>
    <x v="1"/>
    <x v="0"/>
    <x v="3"/>
    <x v="1"/>
    <x v="5"/>
    <x v="0"/>
  </r>
  <r>
    <s v="TX500862"/>
    <x v="6"/>
    <x v="13"/>
    <n v="52.1"/>
    <n v="312.60000000000002"/>
    <x v="35"/>
    <d v="2025-02-07T00:00:00"/>
    <x v="1"/>
    <x v="1"/>
    <x v="1"/>
    <x v="0"/>
    <x v="16"/>
    <x v="1"/>
    <x v="5"/>
    <x v="1"/>
  </r>
  <r>
    <s v="TX500863"/>
    <x v="8"/>
    <x v="1"/>
    <n v="19"/>
    <n v="38"/>
    <x v="35"/>
    <d v="2025-02-06T00:00:00"/>
    <x v="1"/>
    <x v="4"/>
    <x v="2"/>
    <x v="0"/>
    <x v="6"/>
    <x v="3"/>
    <x v="5"/>
    <x v="1"/>
  </r>
  <r>
    <s v="TX500864"/>
    <x v="7"/>
    <x v="2"/>
    <n v="84.8"/>
    <n v="254.39999999999998"/>
    <x v="35"/>
    <d v="2025-02-07T00:00:00"/>
    <x v="2"/>
    <x v="2"/>
    <x v="0"/>
    <x v="0"/>
    <x v="8"/>
    <x v="1"/>
    <x v="5"/>
    <x v="2"/>
  </r>
  <r>
    <s v="TX500865"/>
    <x v="2"/>
    <x v="12"/>
    <n v="63.9"/>
    <n v="255.6"/>
    <x v="35"/>
    <d v="2025-02-08T00:00:00"/>
    <x v="2"/>
    <x v="0"/>
    <x v="0"/>
    <x v="0"/>
    <x v="8"/>
    <x v="2"/>
    <x v="5"/>
    <x v="2"/>
  </r>
  <r>
    <s v="TX500866"/>
    <x v="2"/>
    <x v="2"/>
    <n v="65.5"/>
    <n v="196.5"/>
    <x v="35"/>
    <d v="2025-02-05T00:00:00"/>
    <x v="2"/>
    <x v="1"/>
    <x v="1"/>
    <x v="0"/>
    <x v="8"/>
    <x v="7"/>
    <x v="5"/>
    <x v="2"/>
  </r>
  <r>
    <s v="TX500867"/>
    <x v="12"/>
    <x v="1"/>
    <n v="116.2"/>
    <n v="232.4"/>
    <x v="35"/>
    <d v="2025-02-11T00:00:00"/>
    <x v="1"/>
    <x v="3"/>
    <x v="0"/>
    <x v="0"/>
    <x v="17"/>
    <x v="4"/>
    <x v="5"/>
    <x v="1"/>
  </r>
  <r>
    <s v="TX500868"/>
    <x v="10"/>
    <x v="12"/>
    <n v="22.9"/>
    <n v="91.6"/>
    <x v="35"/>
    <d v="2025-02-07T00:00:00"/>
    <x v="2"/>
    <x v="2"/>
    <x v="1"/>
    <x v="0"/>
    <x v="38"/>
    <x v="1"/>
    <x v="5"/>
    <x v="2"/>
  </r>
  <r>
    <s v="TX500869"/>
    <x v="10"/>
    <x v="2"/>
    <n v="53.7"/>
    <n v="161.10000000000002"/>
    <x v="35"/>
    <d v="2025-02-06T00:00:00"/>
    <x v="1"/>
    <x v="0"/>
    <x v="4"/>
    <x v="0"/>
    <x v="18"/>
    <x v="3"/>
    <x v="5"/>
    <x v="1"/>
  </r>
  <r>
    <s v="TX500870"/>
    <x v="6"/>
    <x v="9"/>
    <n v="43.2"/>
    <n v="216"/>
    <x v="35"/>
    <d v="2025-02-07T00:00:00"/>
    <x v="2"/>
    <x v="0"/>
    <x v="0"/>
    <x v="0"/>
    <x v="19"/>
    <x v="1"/>
    <x v="5"/>
    <x v="2"/>
  </r>
  <r>
    <s v="TX500871"/>
    <x v="1"/>
    <x v="2"/>
    <n v="84.5"/>
    <n v="253.5"/>
    <x v="35"/>
    <d v="2025-02-07T00:00:00"/>
    <x v="1"/>
    <x v="2"/>
    <x v="2"/>
    <x v="0"/>
    <x v="51"/>
    <x v="1"/>
    <x v="5"/>
    <x v="1"/>
  </r>
  <r>
    <s v="TX500872"/>
    <x v="3"/>
    <x v="1"/>
    <n v="42.2"/>
    <n v="84.4"/>
    <x v="35"/>
    <d v="2025-02-06T00:00:00"/>
    <x v="2"/>
    <x v="1"/>
    <x v="2"/>
    <x v="0"/>
    <x v="1"/>
    <x v="3"/>
    <x v="5"/>
    <x v="2"/>
  </r>
  <r>
    <s v="TX500873"/>
    <x v="2"/>
    <x v="13"/>
    <n v="94.7"/>
    <n v="568.20000000000005"/>
    <x v="35"/>
    <d v="2025-02-08T00:00:00"/>
    <x v="2"/>
    <x v="1"/>
    <x v="2"/>
    <x v="0"/>
    <x v="2"/>
    <x v="2"/>
    <x v="5"/>
    <x v="2"/>
  </r>
  <r>
    <s v="TX500874"/>
    <x v="8"/>
    <x v="16"/>
    <n v="16.7"/>
    <n v="300.59999999999997"/>
    <x v="35"/>
    <d v="2025-02-17T00:00:00"/>
    <x v="2"/>
    <x v="0"/>
    <x v="2"/>
    <x v="0"/>
    <x v="2"/>
    <x v="13"/>
    <x v="5"/>
    <x v="2"/>
  </r>
  <r>
    <s v="TX500875"/>
    <x v="2"/>
    <x v="1"/>
    <n v="83.6"/>
    <n v="167.2"/>
    <x v="35"/>
    <d v="2025-02-11T00:00:00"/>
    <x v="2"/>
    <x v="1"/>
    <x v="0"/>
    <x v="0"/>
    <x v="3"/>
    <x v="4"/>
    <x v="5"/>
    <x v="2"/>
  </r>
  <r>
    <s v="TX500876"/>
    <x v="7"/>
    <x v="13"/>
    <n v="33.6"/>
    <n v="201.60000000000002"/>
    <x v="36"/>
    <d v="2025-02-07T00:00:00"/>
    <x v="2"/>
    <x v="3"/>
    <x v="0"/>
    <x v="0"/>
    <x v="3"/>
    <x v="3"/>
    <x v="5"/>
    <x v="2"/>
  </r>
  <r>
    <s v="TX500877"/>
    <x v="7"/>
    <x v="1"/>
    <n v="64.7"/>
    <n v="129.4"/>
    <x v="36"/>
    <d v="2025-02-08T00:00:00"/>
    <x v="1"/>
    <x v="1"/>
    <x v="2"/>
    <x v="0"/>
    <x v="3"/>
    <x v="1"/>
    <x v="5"/>
    <x v="1"/>
  </r>
  <r>
    <s v="TX500878"/>
    <x v="0"/>
    <x v="2"/>
    <n v="15.7"/>
    <n v="47.099999999999994"/>
    <x v="36"/>
    <d v="2025-02-12T00:00:00"/>
    <x v="2"/>
    <x v="0"/>
    <x v="0"/>
    <x v="0"/>
    <x v="3"/>
    <x v="4"/>
    <x v="5"/>
    <x v="2"/>
  </r>
  <r>
    <s v="TX500879"/>
    <x v="15"/>
    <x v="13"/>
    <n v="49.4"/>
    <n v="296.39999999999998"/>
    <x v="36"/>
    <d v="2025-02-06T00:00:00"/>
    <x v="1"/>
    <x v="1"/>
    <x v="0"/>
    <x v="0"/>
    <x v="3"/>
    <x v="7"/>
    <x v="5"/>
    <x v="1"/>
  </r>
  <r>
    <s v="TX500880"/>
    <x v="10"/>
    <x v="13"/>
    <n v="37"/>
    <n v="222"/>
    <x v="36"/>
    <d v="2025-02-09T00:00:00"/>
    <x v="2"/>
    <x v="1"/>
    <x v="2"/>
    <x v="0"/>
    <x v="3"/>
    <x v="2"/>
    <x v="5"/>
    <x v="2"/>
  </r>
  <r>
    <s v="TX500881"/>
    <x v="2"/>
    <x v="1"/>
    <n v="83.7"/>
    <n v="167.4"/>
    <x v="36"/>
    <d v="2025-02-08T00:00:00"/>
    <x v="2"/>
    <x v="3"/>
    <x v="2"/>
    <x v="0"/>
    <x v="3"/>
    <x v="1"/>
    <x v="5"/>
    <x v="2"/>
  </r>
  <r>
    <s v="TX500882"/>
    <x v="1"/>
    <x v="9"/>
    <n v="35.1"/>
    <n v="175.5"/>
    <x v="36"/>
    <d v="2025-02-07T00:00:00"/>
    <x v="2"/>
    <x v="0"/>
    <x v="0"/>
    <x v="0"/>
    <x v="3"/>
    <x v="3"/>
    <x v="5"/>
    <x v="2"/>
  </r>
  <r>
    <s v="TX500883"/>
    <x v="16"/>
    <x v="8"/>
    <n v="74"/>
    <n v="592"/>
    <x v="36"/>
    <d v="2025-02-07T00:00:00"/>
    <x v="2"/>
    <x v="4"/>
    <x v="0"/>
    <x v="0"/>
    <x v="37"/>
    <x v="3"/>
    <x v="5"/>
    <x v="2"/>
  </r>
  <r>
    <s v="TX500884"/>
    <x v="6"/>
    <x v="25"/>
    <n v="55.5"/>
    <n v="1332"/>
    <x v="36"/>
    <d v="2025-02-09T00:00:00"/>
    <x v="1"/>
    <x v="3"/>
    <x v="0"/>
    <x v="0"/>
    <x v="49"/>
    <x v="2"/>
    <x v="5"/>
    <x v="1"/>
  </r>
  <r>
    <s v="TX500885"/>
    <x v="11"/>
    <x v="1"/>
    <n v="38.9"/>
    <n v="77.8"/>
    <x v="36"/>
    <d v="2025-02-08T00:00:00"/>
    <x v="2"/>
    <x v="1"/>
    <x v="2"/>
    <x v="0"/>
    <x v="25"/>
    <x v="1"/>
    <x v="5"/>
    <x v="2"/>
  </r>
  <r>
    <s v="TX500886"/>
    <x v="16"/>
    <x v="1"/>
    <n v="64.599999999999994"/>
    <n v="129.19999999999999"/>
    <x v="36"/>
    <d v="2025-02-13T00:00:00"/>
    <x v="1"/>
    <x v="2"/>
    <x v="1"/>
    <x v="0"/>
    <x v="25"/>
    <x v="6"/>
    <x v="5"/>
    <x v="1"/>
  </r>
  <r>
    <s v="TX500887"/>
    <x v="2"/>
    <x v="2"/>
    <n v="95.3"/>
    <n v="285.89999999999998"/>
    <x v="36"/>
    <d v="2025-02-07T00:00:00"/>
    <x v="1"/>
    <x v="0"/>
    <x v="0"/>
    <x v="0"/>
    <x v="5"/>
    <x v="3"/>
    <x v="5"/>
    <x v="1"/>
  </r>
  <r>
    <s v="TX500888"/>
    <x v="13"/>
    <x v="2"/>
    <n v="25.8"/>
    <n v="77.400000000000006"/>
    <x v="36"/>
    <d v="2025-02-07T00:00:00"/>
    <x v="2"/>
    <x v="1"/>
    <x v="1"/>
    <x v="0"/>
    <x v="6"/>
    <x v="3"/>
    <x v="5"/>
    <x v="2"/>
  </r>
  <r>
    <s v="TX500889"/>
    <x v="0"/>
    <x v="1"/>
    <n v="11.6"/>
    <n v="23.2"/>
    <x v="36"/>
    <d v="2025-02-10T00:00:00"/>
    <x v="2"/>
    <x v="1"/>
    <x v="1"/>
    <x v="0"/>
    <x v="6"/>
    <x v="5"/>
    <x v="5"/>
    <x v="2"/>
  </r>
  <r>
    <s v="TX500890"/>
    <x v="7"/>
    <x v="0"/>
    <n v="52.3"/>
    <n v="52.3"/>
    <x v="36"/>
    <d v="2025-02-07T00:00:00"/>
    <x v="2"/>
    <x v="1"/>
    <x v="0"/>
    <x v="0"/>
    <x v="8"/>
    <x v="3"/>
    <x v="5"/>
    <x v="2"/>
  </r>
  <r>
    <s v="TX500891"/>
    <x v="2"/>
    <x v="7"/>
    <n v="112.2"/>
    <n v="1122"/>
    <x v="36"/>
    <d v="2025-02-07T00:00:00"/>
    <x v="2"/>
    <x v="1"/>
    <x v="1"/>
    <x v="0"/>
    <x v="8"/>
    <x v="3"/>
    <x v="5"/>
    <x v="2"/>
  </r>
  <r>
    <s v="TX500892"/>
    <x v="4"/>
    <x v="9"/>
    <n v="34.6"/>
    <n v="173"/>
    <x v="36"/>
    <d v="2025-02-08T00:00:00"/>
    <x v="1"/>
    <x v="2"/>
    <x v="0"/>
    <x v="0"/>
    <x v="8"/>
    <x v="1"/>
    <x v="5"/>
    <x v="1"/>
  </r>
  <r>
    <s v="TX500893"/>
    <x v="14"/>
    <x v="12"/>
    <n v="20.100000000000001"/>
    <n v="80.400000000000006"/>
    <x v="36"/>
    <d v="2025-02-12T00:00:00"/>
    <x v="1"/>
    <x v="1"/>
    <x v="2"/>
    <x v="0"/>
    <x v="8"/>
    <x v="4"/>
    <x v="5"/>
    <x v="1"/>
  </r>
  <r>
    <s v="TX500894"/>
    <x v="2"/>
    <x v="12"/>
    <n v="56.4"/>
    <n v="225.6"/>
    <x v="36"/>
    <d v="2025-02-08T00:00:00"/>
    <x v="2"/>
    <x v="2"/>
    <x v="0"/>
    <x v="0"/>
    <x v="10"/>
    <x v="1"/>
    <x v="5"/>
    <x v="2"/>
  </r>
  <r>
    <s v="TX500895"/>
    <x v="13"/>
    <x v="11"/>
    <n v="55.3"/>
    <n v="497.7"/>
    <x v="36"/>
    <d v="2025-02-08T00:00:00"/>
    <x v="2"/>
    <x v="1"/>
    <x v="4"/>
    <x v="0"/>
    <x v="11"/>
    <x v="1"/>
    <x v="5"/>
    <x v="2"/>
  </r>
  <r>
    <s v="TX500896"/>
    <x v="2"/>
    <x v="31"/>
    <n v="75.5"/>
    <n v="2114"/>
    <x v="36"/>
    <d v="2025-02-07T00:00:00"/>
    <x v="2"/>
    <x v="0"/>
    <x v="0"/>
    <x v="0"/>
    <x v="11"/>
    <x v="3"/>
    <x v="5"/>
    <x v="2"/>
  </r>
  <r>
    <s v="TX500897"/>
    <x v="8"/>
    <x v="0"/>
    <n v="23.6"/>
    <n v="23.6"/>
    <x v="36"/>
    <d v="2025-02-11T00:00:00"/>
    <x v="2"/>
    <x v="0"/>
    <x v="0"/>
    <x v="0"/>
    <x v="19"/>
    <x v="0"/>
    <x v="5"/>
    <x v="2"/>
  </r>
  <r>
    <s v="TX500898"/>
    <x v="9"/>
    <x v="1"/>
    <n v="70.7"/>
    <n v="141.4"/>
    <x v="36"/>
    <d v="2025-02-08T00:00:00"/>
    <x v="2"/>
    <x v="2"/>
    <x v="0"/>
    <x v="0"/>
    <x v="19"/>
    <x v="1"/>
    <x v="5"/>
    <x v="2"/>
  </r>
  <r>
    <s v="TX500899"/>
    <x v="12"/>
    <x v="1"/>
    <n v="43.2"/>
    <n v="86.4"/>
    <x v="36"/>
    <d v="2025-02-07T00:00:00"/>
    <x v="2"/>
    <x v="2"/>
    <x v="0"/>
    <x v="0"/>
    <x v="31"/>
    <x v="3"/>
    <x v="5"/>
    <x v="2"/>
  </r>
  <r>
    <s v="TX500900"/>
    <x v="9"/>
    <x v="11"/>
    <n v="70"/>
    <n v="630"/>
    <x v="36"/>
    <d v="2025-02-07T00:00:00"/>
    <x v="0"/>
    <x v="1"/>
    <x v="0"/>
    <x v="0"/>
    <x v="52"/>
    <x v="3"/>
    <x v="5"/>
    <x v="0"/>
  </r>
  <r>
    <s v="TX500901"/>
    <x v="0"/>
    <x v="1"/>
    <n v="20.5"/>
    <n v="41"/>
    <x v="36"/>
    <d v="2025-02-08T00:00:00"/>
    <x v="2"/>
    <x v="2"/>
    <x v="4"/>
    <x v="0"/>
    <x v="13"/>
    <x v="1"/>
    <x v="5"/>
    <x v="2"/>
  </r>
  <r>
    <s v="TX500902"/>
    <x v="0"/>
    <x v="12"/>
    <n v="29.1"/>
    <n v="116.4"/>
    <x v="36"/>
    <d v="2025-02-07T00:00:00"/>
    <x v="2"/>
    <x v="3"/>
    <x v="0"/>
    <x v="0"/>
    <x v="28"/>
    <x v="3"/>
    <x v="5"/>
    <x v="2"/>
  </r>
  <r>
    <s v="TX500903"/>
    <x v="6"/>
    <x v="11"/>
    <n v="53.6"/>
    <n v="482.40000000000003"/>
    <x v="36"/>
    <d v="2025-02-07T00:00:00"/>
    <x v="1"/>
    <x v="2"/>
    <x v="1"/>
    <x v="0"/>
    <x v="3"/>
    <x v="3"/>
    <x v="5"/>
    <x v="1"/>
  </r>
  <r>
    <s v="TX500904"/>
    <x v="6"/>
    <x v="9"/>
    <n v="72.3"/>
    <n v="361.5"/>
    <x v="36"/>
    <d v="2025-02-08T00:00:00"/>
    <x v="2"/>
    <x v="1"/>
    <x v="0"/>
    <x v="0"/>
    <x v="3"/>
    <x v="1"/>
    <x v="5"/>
    <x v="2"/>
  </r>
  <r>
    <s v="TX500905"/>
    <x v="13"/>
    <x v="12"/>
    <n v="22.6"/>
    <n v="90.4"/>
    <x v="36"/>
    <d v="2025-02-09T00:00:00"/>
    <x v="3"/>
    <x v="0"/>
    <x v="1"/>
    <x v="0"/>
    <x v="3"/>
    <x v="2"/>
    <x v="5"/>
    <x v="3"/>
  </r>
  <r>
    <s v="TX500906"/>
    <x v="9"/>
    <x v="1"/>
    <n v="44.2"/>
    <n v="88.4"/>
    <x v="36"/>
    <d v="2025-02-10T00:00:00"/>
    <x v="0"/>
    <x v="2"/>
    <x v="4"/>
    <x v="0"/>
    <x v="3"/>
    <x v="5"/>
    <x v="5"/>
    <x v="0"/>
  </r>
  <r>
    <s v="TX500907"/>
    <x v="9"/>
    <x v="2"/>
    <n v="94.1"/>
    <n v="282.29999999999995"/>
    <x v="36"/>
    <d v="2025-02-19T00:00:00"/>
    <x v="2"/>
    <x v="2"/>
    <x v="2"/>
    <x v="0"/>
    <x v="3"/>
    <x v="10"/>
    <x v="5"/>
    <x v="2"/>
  </r>
  <r>
    <s v="TX500908"/>
    <x v="8"/>
    <x v="2"/>
    <n v="17.899999999999999"/>
    <n v="53.699999999999996"/>
    <x v="36"/>
    <d v="2025-02-08T00:00:00"/>
    <x v="1"/>
    <x v="1"/>
    <x v="1"/>
    <x v="0"/>
    <x v="3"/>
    <x v="1"/>
    <x v="5"/>
    <x v="1"/>
  </r>
  <r>
    <s v="TX500909"/>
    <x v="12"/>
    <x v="3"/>
    <n v="52.7"/>
    <n v="368.90000000000003"/>
    <x v="36"/>
    <d v="2025-02-07T00:00:00"/>
    <x v="1"/>
    <x v="1"/>
    <x v="1"/>
    <x v="0"/>
    <x v="3"/>
    <x v="3"/>
    <x v="5"/>
    <x v="1"/>
  </r>
  <r>
    <s v="TX500910"/>
    <x v="8"/>
    <x v="0"/>
    <n v="36.799999999999997"/>
    <n v="36.799999999999997"/>
    <x v="36"/>
    <d v="2025-02-06T00:00:00"/>
    <x v="0"/>
    <x v="0"/>
    <x v="2"/>
    <x v="0"/>
    <x v="3"/>
    <x v="7"/>
    <x v="5"/>
    <x v="0"/>
  </r>
  <r>
    <s v="TX500911"/>
    <x v="4"/>
    <x v="0"/>
    <n v="52.5"/>
    <n v="52.5"/>
    <x v="36"/>
    <d v="2025-02-07T00:00:00"/>
    <x v="1"/>
    <x v="0"/>
    <x v="1"/>
    <x v="0"/>
    <x v="6"/>
    <x v="3"/>
    <x v="5"/>
    <x v="1"/>
  </r>
  <r>
    <s v="TX500912"/>
    <x v="2"/>
    <x v="1"/>
    <n v="133.80000000000001"/>
    <n v="267.60000000000002"/>
    <x v="36"/>
    <d v="2025-02-08T00:00:00"/>
    <x v="1"/>
    <x v="0"/>
    <x v="1"/>
    <x v="0"/>
    <x v="7"/>
    <x v="1"/>
    <x v="5"/>
    <x v="1"/>
  </r>
  <r>
    <s v="TX500913"/>
    <x v="6"/>
    <x v="1"/>
    <n v="53.2"/>
    <n v="106.4"/>
    <x v="36"/>
    <d v="2025-02-08T00:00:00"/>
    <x v="1"/>
    <x v="0"/>
    <x v="0"/>
    <x v="0"/>
    <x v="17"/>
    <x v="1"/>
    <x v="5"/>
    <x v="1"/>
  </r>
  <r>
    <s v="TX500914"/>
    <x v="14"/>
    <x v="13"/>
    <n v="18.7"/>
    <n v="112.19999999999999"/>
    <x v="36"/>
    <d v="2025-02-08T00:00:00"/>
    <x v="0"/>
    <x v="0"/>
    <x v="1"/>
    <x v="0"/>
    <x v="10"/>
    <x v="1"/>
    <x v="5"/>
    <x v="0"/>
  </r>
  <r>
    <s v="TX500915"/>
    <x v="6"/>
    <x v="12"/>
    <n v="108.8"/>
    <n v="435.2"/>
    <x v="36"/>
    <d v="2025-02-07T00:00:00"/>
    <x v="2"/>
    <x v="3"/>
    <x v="2"/>
    <x v="0"/>
    <x v="11"/>
    <x v="3"/>
    <x v="5"/>
    <x v="2"/>
  </r>
  <r>
    <s v="TX500916"/>
    <x v="15"/>
    <x v="9"/>
    <n v="38.5"/>
    <n v="192.5"/>
    <x v="36"/>
    <d v="2025-02-10T00:00:00"/>
    <x v="2"/>
    <x v="0"/>
    <x v="1"/>
    <x v="0"/>
    <x v="14"/>
    <x v="5"/>
    <x v="5"/>
    <x v="2"/>
  </r>
  <r>
    <s v="TX500917"/>
    <x v="10"/>
    <x v="7"/>
    <n v="46.5"/>
    <n v="465"/>
    <x v="36"/>
    <d v="2025-02-08T00:00:00"/>
    <x v="1"/>
    <x v="2"/>
    <x v="1"/>
    <x v="0"/>
    <x v="2"/>
    <x v="1"/>
    <x v="5"/>
    <x v="1"/>
  </r>
  <r>
    <s v="TX500918"/>
    <x v="2"/>
    <x v="2"/>
    <n v="75.8"/>
    <n v="227.39999999999998"/>
    <x v="36"/>
    <d v="2025-02-10T00:00:00"/>
    <x v="2"/>
    <x v="1"/>
    <x v="4"/>
    <x v="0"/>
    <x v="44"/>
    <x v="5"/>
    <x v="5"/>
    <x v="2"/>
  </r>
  <r>
    <s v="TX500919"/>
    <x v="8"/>
    <x v="0"/>
    <n v="20.9"/>
    <n v="20.9"/>
    <x v="36"/>
    <d v="2025-02-10T00:00:00"/>
    <x v="1"/>
    <x v="0"/>
    <x v="0"/>
    <x v="0"/>
    <x v="22"/>
    <x v="5"/>
    <x v="5"/>
    <x v="1"/>
  </r>
  <r>
    <s v="TX500920"/>
    <x v="18"/>
    <x v="2"/>
    <n v="47.4"/>
    <n v="142.19999999999999"/>
    <x v="36"/>
    <d v="2025-02-09T00:00:00"/>
    <x v="2"/>
    <x v="0"/>
    <x v="0"/>
    <x v="0"/>
    <x v="3"/>
    <x v="2"/>
    <x v="5"/>
    <x v="2"/>
  </r>
  <r>
    <s v="TX500921"/>
    <x v="9"/>
    <x v="1"/>
    <n v="53.8"/>
    <n v="107.6"/>
    <x v="36"/>
    <d v="2025-02-07T00:00:00"/>
    <x v="0"/>
    <x v="0"/>
    <x v="1"/>
    <x v="0"/>
    <x v="3"/>
    <x v="3"/>
    <x v="5"/>
    <x v="0"/>
  </r>
  <r>
    <s v="TX500922"/>
    <x v="8"/>
    <x v="2"/>
    <n v="24.6"/>
    <n v="73.800000000000011"/>
    <x v="36"/>
    <d v="2025-02-08T00:00:00"/>
    <x v="3"/>
    <x v="1"/>
    <x v="2"/>
    <x v="0"/>
    <x v="3"/>
    <x v="1"/>
    <x v="5"/>
    <x v="3"/>
  </r>
  <r>
    <s v="TX500923"/>
    <x v="9"/>
    <x v="2"/>
    <n v="70.900000000000006"/>
    <n v="212.70000000000002"/>
    <x v="36"/>
    <d v="2025-02-11T00:00:00"/>
    <x v="2"/>
    <x v="2"/>
    <x v="2"/>
    <x v="0"/>
    <x v="3"/>
    <x v="0"/>
    <x v="5"/>
    <x v="2"/>
  </r>
  <r>
    <s v="TX500924"/>
    <x v="17"/>
    <x v="2"/>
    <n v="31.9"/>
    <n v="95.699999999999989"/>
    <x v="36"/>
    <d v="2025-02-08T00:00:00"/>
    <x v="2"/>
    <x v="2"/>
    <x v="2"/>
    <x v="0"/>
    <x v="3"/>
    <x v="1"/>
    <x v="5"/>
    <x v="2"/>
  </r>
  <r>
    <s v="TX500925"/>
    <x v="0"/>
    <x v="1"/>
    <n v="20.399999999999999"/>
    <n v="40.799999999999997"/>
    <x v="36"/>
    <d v="2025-02-10T00:00:00"/>
    <x v="1"/>
    <x v="3"/>
    <x v="2"/>
    <x v="0"/>
    <x v="3"/>
    <x v="5"/>
    <x v="5"/>
    <x v="1"/>
  </r>
  <r>
    <s v="TX500926"/>
    <x v="8"/>
    <x v="1"/>
    <n v="18.600000000000001"/>
    <n v="37.200000000000003"/>
    <x v="36"/>
    <d v="2025-02-08T00:00:00"/>
    <x v="0"/>
    <x v="0"/>
    <x v="1"/>
    <x v="0"/>
    <x v="3"/>
    <x v="1"/>
    <x v="5"/>
    <x v="0"/>
  </r>
  <r>
    <s v="TX500927"/>
    <x v="4"/>
    <x v="9"/>
    <n v="48.3"/>
    <n v="241.5"/>
    <x v="36"/>
    <d v="2025-02-08T00:00:00"/>
    <x v="2"/>
    <x v="1"/>
    <x v="0"/>
    <x v="0"/>
    <x v="3"/>
    <x v="1"/>
    <x v="5"/>
    <x v="2"/>
  </r>
  <r>
    <s v="TX500928"/>
    <x v="0"/>
    <x v="12"/>
    <n v="27.7"/>
    <n v="110.8"/>
    <x v="36"/>
    <d v="2025-02-08T00:00:00"/>
    <x v="2"/>
    <x v="0"/>
    <x v="0"/>
    <x v="0"/>
    <x v="3"/>
    <x v="1"/>
    <x v="5"/>
    <x v="2"/>
  </r>
  <r>
    <s v="TX500929"/>
    <x v="4"/>
    <x v="9"/>
    <n v="22.5"/>
    <n v="112.5"/>
    <x v="36"/>
    <d v="2025-02-08T00:00:00"/>
    <x v="2"/>
    <x v="4"/>
    <x v="2"/>
    <x v="0"/>
    <x v="3"/>
    <x v="1"/>
    <x v="5"/>
    <x v="2"/>
  </r>
  <r>
    <s v="TX500930"/>
    <x v="17"/>
    <x v="9"/>
    <n v="21.6"/>
    <n v="108"/>
    <x v="36"/>
    <d v="2025-02-14T00:00:00"/>
    <x v="2"/>
    <x v="0"/>
    <x v="1"/>
    <x v="0"/>
    <x v="3"/>
    <x v="9"/>
    <x v="5"/>
    <x v="2"/>
  </r>
  <r>
    <s v="TX500931"/>
    <x v="10"/>
    <x v="3"/>
    <n v="26.3"/>
    <n v="184.1"/>
    <x v="36"/>
    <d v="2025-02-06T00:00:00"/>
    <x v="2"/>
    <x v="2"/>
    <x v="1"/>
    <x v="0"/>
    <x v="3"/>
    <x v="7"/>
    <x v="5"/>
    <x v="2"/>
  </r>
  <r>
    <s v="TX500932"/>
    <x v="6"/>
    <x v="3"/>
    <n v="103"/>
    <n v="721"/>
    <x v="37"/>
    <d v="2025-02-08T00:00:00"/>
    <x v="1"/>
    <x v="0"/>
    <x v="2"/>
    <x v="0"/>
    <x v="6"/>
    <x v="3"/>
    <x v="5"/>
    <x v="1"/>
  </r>
  <r>
    <s v="TX500933"/>
    <x v="5"/>
    <x v="20"/>
    <n v="46.6"/>
    <n v="699"/>
    <x v="37"/>
    <d v="2025-02-08T00:00:00"/>
    <x v="2"/>
    <x v="0"/>
    <x v="1"/>
    <x v="0"/>
    <x v="6"/>
    <x v="3"/>
    <x v="5"/>
    <x v="2"/>
  </r>
  <r>
    <s v="TX500934"/>
    <x v="0"/>
    <x v="9"/>
    <n v="32.200000000000003"/>
    <n v="161"/>
    <x v="37"/>
    <d v="2025-02-10T00:00:00"/>
    <x v="2"/>
    <x v="0"/>
    <x v="2"/>
    <x v="0"/>
    <x v="36"/>
    <x v="2"/>
    <x v="5"/>
    <x v="2"/>
  </r>
  <r>
    <s v="TX500935"/>
    <x v="8"/>
    <x v="2"/>
    <n v="22"/>
    <n v="66"/>
    <x v="37"/>
    <d v="2025-02-14T00:00:00"/>
    <x v="1"/>
    <x v="1"/>
    <x v="0"/>
    <x v="0"/>
    <x v="7"/>
    <x v="6"/>
    <x v="5"/>
    <x v="1"/>
  </r>
  <r>
    <s v="TX500936"/>
    <x v="0"/>
    <x v="1"/>
    <n v="25.2"/>
    <n v="50.4"/>
    <x v="37"/>
    <d v="2025-02-11T00:00:00"/>
    <x v="2"/>
    <x v="0"/>
    <x v="0"/>
    <x v="0"/>
    <x v="7"/>
    <x v="5"/>
    <x v="5"/>
    <x v="2"/>
  </r>
  <r>
    <s v="TX500937"/>
    <x v="1"/>
    <x v="13"/>
    <n v="68.7"/>
    <n v="412.20000000000005"/>
    <x v="37"/>
    <d v="2025-02-09T00:00:00"/>
    <x v="1"/>
    <x v="4"/>
    <x v="0"/>
    <x v="0"/>
    <x v="8"/>
    <x v="1"/>
    <x v="5"/>
    <x v="1"/>
  </r>
  <r>
    <s v="TX500938"/>
    <x v="0"/>
    <x v="2"/>
    <n v="22.2"/>
    <n v="66.599999999999994"/>
    <x v="37"/>
    <d v="2025-02-10T00:00:00"/>
    <x v="1"/>
    <x v="2"/>
    <x v="2"/>
    <x v="0"/>
    <x v="8"/>
    <x v="2"/>
    <x v="5"/>
    <x v="1"/>
  </r>
  <r>
    <s v="TX500939"/>
    <x v="1"/>
    <x v="3"/>
    <n v="36"/>
    <n v="252"/>
    <x v="37"/>
    <d v="2025-02-08T00:00:00"/>
    <x v="2"/>
    <x v="1"/>
    <x v="0"/>
    <x v="0"/>
    <x v="8"/>
    <x v="3"/>
    <x v="5"/>
    <x v="2"/>
  </r>
  <r>
    <s v="TX500940"/>
    <x v="18"/>
    <x v="0"/>
    <n v="50.6"/>
    <n v="50.6"/>
    <x v="37"/>
    <d v="2025-02-09T00:00:00"/>
    <x v="2"/>
    <x v="0"/>
    <x v="1"/>
    <x v="0"/>
    <x v="8"/>
    <x v="1"/>
    <x v="5"/>
    <x v="2"/>
  </r>
  <r>
    <s v="TX500941"/>
    <x v="15"/>
    <x v="1"/>
    <n v="44.9"/>
    <n v="89.8"/>
    <x v="37"/>
    <d v="2025-02-09T00:00:00"/>
    <x v="1"/>
    <x v="0"/>
    <x v="1"/>
    <x v="0"/>
    <x v="8"/>
    <x v="1"/>
    <x v="5"/>
    <x v="1"/>
  </r>
  <r>
    <s v="TX500942"/>
    <x v="6"/>
    <x v="2"/>
    <n v="71.599999999999994"/>
    <n v="214.79999999999998"/>
    <x v="37"/>
    <d v="2025-02-11T00:00:00"/>
    <x v="1"/>
    <x v="1"/>
    <x v="2"/>
    <x v="0"/>
    <x v="10"/>
    <x v="5"/>
    <x v="5"/>
    <x v="1"/>
  </r>
  <r>
    <s v="TX500943"/>
    <x v="6"/>
    <x v="13"/>
    <n v="51.5"/>
    <n v="309"/>
    <x v="37"/>
    <d v="2025-02-09T00:00:00"/>
    <x v="0"/>
    <x v="4"/>
    <x v="0"/>
    <x v="0"/>
    <x v="11"/>
    <x v="1"/>
    <x v="5"/>
    <x v="0"/>
  </r>
  <r>
    <s v="TX500944"/>
    <x v="7"/>
    <x v="9"/>
    <n v="55.5"/>
    <n v="277.5"/>
    <x v="37"/>
    <d v="2025-02-08T00:00:00"/>
    <x v="1"/>
    <x v="1"/>
    <x v="1"/>
    <x v="0"/>
    <x v="11"/>
    <x v="3"/>
    <x v="5"/>
    <x v="1"/>
  </r>
  <r>
    <s v="TX500945"/>
    <x v="6"/>
    <x v="0"/>
    <n v="51.7"/>
    <n v="51.7"/>
    <x v="37"/>
    <d v="2025-02-21T00:00:00"/>
    <x v="1"/>
    <x v="2"/>
    <x v="0"/>
    <x v="0"/>
    <x v="19"/>
    <x v="12"/>
    <x v="5"/>
    <x v="1"/>
  </r>
  <r>
    <s v="TX500946"/>
    <x v="8"/>
    <x v="38"/>
    <n v="45.5"/>
    <n v="955.5"/>
    <x v="37"/>
    <d v="2025-02-08T00:00:00"/>
    <x v="2"/>
    <x v="3"/>
    <x v="2"/>
    <x v="0"/>
    <x v="19"/>
    <x v="3"/>
    <x v="5"/>
    <x v="2"/>
  </r>
  <r>
    <s v="TX500947"/>
    <x v="8"/>
    <x v="1"/>
    <n v="33.799999999999997"/>
    <n v="67.599999999999994"/>
    <x v="37"/>
    <d v="2025-02-13T00:00:00"/>
    <x v="2"/>
    <x v="3"/>
    <x v="0"/>
    <x v="0"/>
    <x v="20"/>
    <x v="4"/>
    <x v="5"/>
    <x v="2"/>
  </r>
  <r>
    <s v="TX500948"/>
    <x v="3"/>
    <x v="2"/>
    <n v="76.5"/>
    <n v="229.5"/>
    <x v="37"/>
    <d v="2025-02-08T00:00:00"/>
    <x v="2"/>
    <x v="0"/>
    <x v="1"/>
    <x v="0"/>
    <x v="21"/>
    <x v="3"/>
    <x v="5"/>
    <x v="2"/>
  </r>
  <r>
    <s v="TX500949"/>
    <x v="9"/>
    <x v="2"/>
    <n v="42.6"/>
    <n v="127.80000000000001"/>
    <x v="37"/>
    <d v="2025-02-13T00:00:00"/>
    <x v="2"/>
    <x v="2"/>
    <x v="2"/>
    <x v="0"/>
    <x v="2"/>
    <x v="4"/>
    <x v="5"/>
    <x v="2"/>
  </r>
  <r>
    <s v="TX500950"/>
    <x v="6"/>
    <x v="2"/>
    <n v="44.1"/>
    <n v="132.30000000000001"/>
    <x v="37"/>
    <d v="2025-02-09T00:00:00"/>
    <x v="2"/>
    <x v="1"/>
    <x v="1"/>
    <x v="0"/>
    <x v="22"/>
    <x v="1"/>
    <x v="5"/>
    <x v="2"/>
  </r>
  <r>
    <s v="TX500951"/>
    <x v="8"/>
    <x v="1"/>
    <n v="40.9"/>
    <n v="81.8"/>
    <x v="37"/>
    <d v="2025-02-11T00:00:00"/>
    <x v="1"/>
    <x v="0"/>
    <x v="0"/>
    <x v="0"/>
    <x v="3"/>
    <x v="5"/>
    <x v="5"/>
    <x v="1"/>
  </r>
  <r>
    <s v="TX500952"/>
    <x v="9"/>
    <x v="2"/>
    <n v="49.1"/>
    <n v="147.30000000000001"/>
    <x v="37"/>
    <d v="2025-02-11T00:00:00"/>
    <x v="2"/>
    <x v="3"/>
    <x v="1"/>
    <x v="0"/>
    <x v="3"/>
    <x v="5"/>
    <x v="5"/>
    <x v="2"/>
  </r>
  <r>
    <s v="TX500953"/>
    <x v="18"/>
    <x v="0"/>
    <n v="85.3"/>
    <n v="85.3"/>
    <x v="37"/>
    <d v="2025-02-11T00:00:00"/>
    <x v="1"/>
    <x v="1"/>
    <x v="1"/>
    <x v="0"/>
    <x v="3"/>
    <x v="5"/>
    <x v="5"/>
    <x v="1"/>
  </r>
  <r>
    <s v="TX500954"/>
    <x v="6"/>
    <x v="12"/>
    <n v="43.1"/>
    <n v="172.4"/>
    <x v="38"/>
    <d v="2025-02-11T00:00:00"/>
    <x v="1"/>
    <x v="0"/>
    <x v="0"/>
    <x v="0"/>
    <x v="3"/>
    <x v="2"/>
    <x v="5"/>
    <x v="1"/>
  </r>
  <r>
    <s v="TX500955"/>
    <x v="4"/>
    <x v="12"/>
    <n v="46.2"/>
    <n v="184.8"/>
    <x v="38"/>
    <d v="2025-02-09T00:00:00"/>
    <x v="1"/>
    <x v="2"/>
    <x v="0"/>
    <x v="0"/>
    <x v="3"/>
    <x v="3"/>
    <x v="5"/>
    <x v="1"/>
  </r>
  <r>
    <s v="TX500956"/>
    <x v="1"/>
    <x v="0"/>
    <n v="74.400000000000006"/>
    <n v="74.400000000000006"/>
    <x v="38"/>
    <d v="2025-02-10T00:00:00"/>
    <x v="1"/>
    <x v="4"/>
    <x v="2"/>
    <x v="0"/>
    <x v="3"/>
    <x v="1"/>
    <x v="5"/>
    <x v="1"/>
  </r>
  <r>
    <s v="TX500957"/>
    <x v="17"/>
    <x v="1"/>
    <n v="51.2"/>
    <n v="102.4"/>
    <x v="38"/>
    <d v="2025-02-09T00:00:00"/>
    <x v="1"/>
    <x v="1"/>
    <x v="0"/>
    <x v="0"/>
    <x v="3"/>
    <x v="3"/>
    <x v="5"/>
    <x v="1"/>
  </r>
  <r>
    <s v="TX500958"/>
    <x v="14"/>
    <x v="12"/>
    <n v="11.8"/>
    <n v="47.2"/>
    <x v="38"/>
    <d v="2025-02-08T00:00:00"/>
    <x v="1"/>
    <x v="2"/>
    <x v="0"/>
    <x v="0"/>
    <x v="3"/>
    <x v="7"/>
    <x v="5"/>
    <x v="1"/>
  </r>
  <r>
    <s v="TX500959"/>
    <x v="10"/>
    <x v="6"/>
    <n v="40.799999999999997"/>
    <n v="1101.5999999999999"/>
    <x v="38"/>
    <d v="2025-02-09T00:00:00"/>
    <x v="2"/>
    <x v="3"/>
    <x v="2"/>
    <x v="0"/>
    <x v="3"/>
    <x v="3"/>
    <x v="5"/>
    <x v="2"/>
  </r>
  <r>
    <s v="TX500960"/>
    <x v="8"/>
    <x v="0"/>
    <n v="24.7"/>
    <n v="24.7"/>
    <x v="38"/>
    <d v="2025-02-10T00:00:00"/>
    <x v="2"/>
    <x v="2"/>
    <x v="1"/>
    <x v="0"/>
    <x v="3"/>
    <x v="1"/>
    <x v="5"/>
    <x v="2"/>
  </r>
  <r>
    <s v="TX500961"/>
    <x v="8"/>
    <x v="3"/>
    <n v="22.1"/>
    <n v="154.70000000000002"/>
    <x v="38"/>
    <d v="2025-02-08T00:00:00"/>
    <x v="2"/>
    <x v="2"/>
    <x v="4"/>
    <x v="0"/>
    <x v="3"/>
    <x v="7"/>
    <x v="5"/>
    <x v="2"/>
  </r>
  <r>
    <s v="TX500962"/>
    <x v="8"/>
    <x v="0"/>
    <n v="18.100000000000001"/>
    <n v="18.100000000000001"/>
    <x v="38"/>
    <d v="2025-02-12T00:00:00"/>
    <x v="1"/>
    <x v="3"/>
    <x v="2"/>
    <x v="0"/>
    <x v="3"/>
    <x v="5"/>
    <x v="5"/>
    <x v="1"/>
  </r>
  <r>
    <s v="TX500963"/>
    <x v="17"/>
    <x v="1"/>
    <n v="58.8"/>
    <n v="117.6"/>
    <x v="38"/>
    <d v="2025-02-11T00:00:00"/>
    <x v="2"/>
    <x v="0"/>
    <x v="0"/>
    <x v="0"/>
    <x v="25"/>
    <x v="2"/>
    <x v="5"/>
    <x v="2"/>
  </r>
  <r>
    <s v="TX500964"/>
    <x v="18"/>
    <x v="1"/>
    <n v="30.8"/>
    <n v="61.6"/>
    <x v="38"/>
    <d v="2025-02-09T00:00:00"/>
    <x v="2"/>
    <x v="0"/>
    <x v="0"/>
    <x v="0"/>
    <x v="6"/>
    <x v="3"/>
    <x v="5"/>
    <x v="2"/>
  </r>
  <r>
    <s v="TX500965"/>
    <x v="0"/>
    <x v="1"/>
    <n v="12"/>
    <n v="24"/>
    <x v="38"/>
    <d v="2025-02-12T00:00:00"/>
    <x v="2"/>
    <x v="0"/>
    <x v="0"/>
    <x v="0"/>
    <x v="6"/>
    <x v="5"/>
    <x v="5"/>
    <x v="2"/>
  </r>
  <r>
    <s v="TX500966"/>
    <x v="0"/>
    <x v="12"/>
    <n v="13.6"/>
    <n v="54.4"/>
    <x v="38"/>
    <d v="2025-02-11T00:00:00"/>
    <x v="1"/>
    <x v="2"/>
    <x v="0"/>
    <x v="0"/>
    <x v="6"/>
    <x v="2"/>
    <x v="5"/>
    <x v="1"/>
  </r>
  <r>
    <s v="TX500967"/>
    <x v="0"/>
    <x v="0"/>
    <n v="17.899999999999999"/>
    <n v="17.899999999999999"/>
    <x v="38"/>
    <d v="2025-02-09T00:00:00"/>
    <x v="1"/>
    <x v="3"/>
    <x v="0"/>
    <x v="0"/>
    <x v="6"/>
    <x v="3"/>
    <x v="5"/>
    <x v="1"/>
  </r>
  <r>
    <s v="TX500968"/>
    <x v="9"/>
    <x v="1"/>
    <n v="38.6"/>
    <n v="77.2"/>
    <x v="38"/>
    <d v="2025-02-12T00:00:00"/>
    <x v="2"/>
    <x v="4"/>
    <x v="0"/>
    <x v="0"/>
    <x v="7"/>
    <x v="5"/>
    <x v="5"/>
    <x v="2"/>
  </r>
  <r>
    <s v="TX500969"/>
    <x v="5"/>
    <x v="9"/>
    <n v="32.700000000000003"/>
    <n v="163.5"/>
    <x v="38"/>
    <d v="2025-02-09T00:00:00"/>
    <x v="1"/>
    <x v="2"/>
    <x v="2"/>
    <x v="0"/>
    <x v="8"/>
    <x v="3"/>
    <x v="5"/>
    <x v="1"/>
  </r>
  <r>
    <s v="TX500970"/>
    <x v="3"/>
    <x v="1"/>
    <n v="111.4"/>
    <n v="222.8"/>
    <x v="38"/>
    <d v="2025-02-09T00:00:00"/>
    <x v="2"/>
    <x v="1"/>
    <x v="0"/>
    <x v="0"/>
    <x v="8"/>
    <x v="3"/>
    <x v="5"/>
    <x v="2"/>
  </r>
  <r>
    <s v="TX500971"/>
    <x v="2"/>
    <x v="13"/>
    <n v="80.3"/>
    <n v="481.79999999999995"/>
    <x v="38"/>
    <d v="2025-02-10T00:00:00"/>
    <x v="2"/>
    <x v="1"/>
    <x v="0"/>
    <x v="0"/>
    <x v="8"/>
    <x v="1"/>
    <x v="5"/>
    <x v="2"/>
  </r>
  <r>
    <s v="TX500972"/>
    <x v="6"/>
    <x v="1"/>
    <n v="58.9"/>
    <n v="117.8"/>
    <x v="38"/>
    <d v="2025-02-09T00:00:00"/>
    <x v="1"/>
    <x v="1"/>
    <x v="0"/>
    <x v="0"/>
    <x v="8"/>
    <x v="3"/>
    <x v="5"/>
    <x v="1"/>
  </r>
  <r>
    <s v="TX500973"/>
    <x v="6"/>
    <x v="2"/>
    <n v="51.9"/>
    <n v="155.69999999999999"/>
    <x v="38"/>
    <d v="2025-02-10T00:00:00"/>
    <x v="2"/>
    <x v="1"/>
    <x v="4"/>
    <x v="0"/>
    <x v="8"/>
    <x v="1"/>
    <x v="5"/>
    <x v="2"/>
  </r>
  <r>
    <s v="TX500974"/>
    <x v="2"/>
    <x v="2"/>
    <n v="50.3"/>
    <n v="150.89999999999998"/>
    <x v="38"/>
    <d v="2025-02-09T00:00:00"/>
    <x v="1"/>
    <x v="2"/>
    <x v="0"/>
    <x v="0"/>
    <x v="17"/>
    <x v="3"/>
    <x v="5"/>
    <x v="1"/>
  </r>
  <r>
    <s v="TX500975"/>
    <x v="11"/>
    <x v="13"/>
    <n v="45"/>
    <n v="270"/>
    <x v="38"/>
    <d v="2025-02-14T00:00:00"/>
    <x v="2"/>
    <x v="3"/>
    <x v="0"/>
    <x v="0"/>
    <x v="9"/>
    <x v="4"/>
    <x v="5"/>
    <x v="2"/>
  </r>
  <r>
    <s v="TX500976"/>
    <x v="10"/>
    <x v="13"/>
    <n v="44.7"/>
    <n v="268.20000000000005"/>
    <x v="38"/>
    <d v="2025-02-10T00:00:00"/>
    <x v="2"/>
    <x v="2"/>
    <x v="0"/>
    <x v="0"/>
    <x v="11"/>
    <x v="1"/>
    <x v="5"/>
    <x v="2"/>
  </r>
  <r>
    <s v="TX500977"/>
    <x v="18"/>
    <x v="20"/>
    <n v="33"/>
    <n v="495"/>
    <x v="38"/>
    <d v="2025-02-09T00:00:00"/>
    <x v="2"/>
    <x v="2"/>
    <x v="0"/>
    <x v="0"/>
    <x v="11"/>
    <x v="3"/>
    <x v="5"/>
    <x v="2"/>
  </r>
  <r>
    <s v="TX500978"/>
    <x v="1"/>
    <x v="9"/>
    <n v="44.9"/>
    <n v="224.5"/>
    <x v="38"/>
    <d v="2025-02-11T00:00:00"/>
    <x v="2"/>
    <x v="2"/>
    <x v="2"/>
    <x v="0"/>
    <x v="18"/>
    <x v="2"/>
    <x v="5"/>
    <x v="2"/>
  </r>
  <r>
    <s v="TX500979"/>
    <x v="10"/>
    <x v="1"/>
    <n v="34.6"/>
    <n v="69.2"/>
    <x v="38"/>
    <d v="2025-02-12T00:00:00"/>
    <x v="2"/>
    <x v="0"/>
    <x v="1"/>
    <x v="0"/>
    <x v="19"/>
    <x v="5"/>
    <x v="5"/>
    <x v="2"/>
  </r>
  <r>
    <s v="TX500980"/>
    <x v="7"/>
    <x v="3"/>
    <n v="47.1"/>
    <n v="329.7"/>
    <x v="38"/>
    <d v="2025-02-13T00:00:00"/>
    <x v="2"/>
    <x v="0"/>
    <x v="0"/>
    <x v="0"/>
    <x v="13"/>
    <x v="0"/>
    <x v="5"/>
    <x v="2"/>
  </r>
  <r>
    <s v="TX500981"/>
    <x v="4"/>
    <x v="9"/>
    <n v="26.1"/>
    <n v="130.5"/>
    <x v="38"/>
    <d v="2025-02-13T00:00:00"/>
    <x v="1"/>
    <x v="0"/>
    <x v="2"/>
    <x v="0"/>
    <x v="21"/>
    <x v="0"/>
    <x v="5"/>
    <x v="1"/>
  </r>
  <r>
    <s v="TX500982"/>
    <x v="12"/>
    <x v="9"/>
    <n v="66.8"/>
    <n v="334"/>
    <x v="38"/>
    <d v="2025-02-11T00:00:00"/>
    <x v="2"/>
    <x v="0"/>
    <x v="0"/>
    <x v="0"/>
    <x v="21"/>
    <x v="2"/>
    <x v="5"/>
    <x v="2"/>
  </r>
  <r>
    <s v="TX500983"/>
    <x v="2"/>
    <x v="1"/>
    <n v="167.9"/>
    <n v="335.8"/>
    <x v="38"/>
    <d v="2025-02-09T00:00:00"/>
    <x v="2"/>
    <x v="3"/>
    <x v="2"/>
    <x v="0"/>
    <x v="21"/>
    <x v="3"/>
    <x v="5"/>
    <x v="2"/>
  </r>
  <r>
    <s v="TX500984"/>
    <x v="10"/>
    <x v="11"/>
    <n v="34.6"/>
    <n v="311.40000000000003"/>
    <x v="38"/>
    <d v="2025-02-09T00:00:00"/>
    <x v="2"/>
    <x v="2"/>
    <x v="1"/>
    <x v="0"/>
    <x v="21"/>
    <x v="3"/>
    <x v="5"/>
    <x v="2"/>
  </r>
  <r>
    <s v="TX500985"/>
    <x v="8"/>
    <x v="2"/>
    <n v="35.1"/>
    <n v="105.30000000000001"/>
    <x v="39"/>
    <d v="2025-02-13T00:00:00"/>
    <x v="1"/>
    <x v="4"/>
    <x v="2"/>
    <x v="0"/>
    <x v="1"/>
    <x v="5"/>
    <x v="6"/>
    <x v="1"/>
  </r>
  <r>
    <s v="TX500986"/>
    <x v="6"/>
    <x v="12"/>
    <n v="104.5"/>
    <n v="418"/>
    <x v="39"/>
    <d v="2025-02-10T00:00:00"/>
    <x v="1"/>
    <x v="1"/>
    <x v="1"/>
    <x v="0"/>
    <x v="1"/>
    <x v="3"/>
    <x v="6"/>
    <x v="1"/>
  </r>
  <r>
    <s v="TX500987"/>
    <x v="8"/>
    <x v="0"/>
    <n v="37.9"/>
    <n v="37.9"/>
    <x v="39"/>
    <d v="2025-02-11T00:00:00"/>
    <x v="0"/>
    <x v="1"/>
    <x v="2"/>
    <x v="0"/>
    <x v="2"/>
    <x v="1"/>
    <x v="6"/>
    <x v="0"/>
  </r>
  <r>
    <s v="TX500988"/>
    <x v="4"/>
    <x v="2"/>
    <n v="25.5"/>
    <n v="76.5"/>
    <x v="39"/>
    <d v="2025-02-12T00:00:00"/>
    <x v="1"/>
    <x v="3"/>
    <x v="0"/>
    <x v="0"/>
    <x v="2"/>
    <x v="2"/>
    <x v="6"/>
    <x v="1"/>
  </r>
  <r>
    <s v="TX500989"/>
    <x v="0"/>
    <x v="2"/>
    <n v="32"/>
    <n v="96"/>
    <x v="39"/>
    <d v="2025-02-13T00:00:00"/>
    <x v="2"/>
    <x v="1"/>
    <x v="0"/>
    <x v="0"/>
    <x v="22"/>
    <x v="5"/>
    <x v="6"/>
    <x v="2"/>
  </r>
  <r>
    <s v="TX500990"/>
    <x v="1"/>
    <x v="0"/>
    <n v="47.1"/>
    <n v="47.1"/>
    <x v="39"/>
    <d v="2025-02-10T00:00:00"/>
    <x v="2"/>
    <x v="0"/>
    <x v="0"/>
    <x v="0"/>
    <x v="34"/>
    <x v="3"/>
    <x v="6"/>
    <x v="2"/>
  </r>
  <r>
    <s v="TX500991"/>
    <x v="6"/>
    <x v="1"/>
    <n v="50.6"/>
    <n v="101.2"/>
    <x v="39"/>
    <d v="2025-02-15T00:00:00"/>
    <x v="0"/>
    <x v="0"/>
    <x v="0"/>
    <x v="0"/>
    <x v="3"/>
    <x v="4"/>
    <x v="6"/>
    <x v="0"/>
  </r>
  <r>
    <s v="TX500992"/>
    <x v="6"/>
    <x v="9"/>
    <n v="81.7"/>
    <n v="408.5"/>
    <x v="39"/>
    <d v="2025-02-10T00:00:00"/>
    <x v="2"/>
    <x v="1"/>
    <x v="2"/>
    <x v="0"/>
    <x v="3"/>
    <x v="3"/>
    <x v="6"/>
    <x v="2"/>
  </r>
  <r>
    <s v="TX500993"/>
    <x v="5"/>
    <x v="1"/>
    <n v="50.7"/>
    <n v="101.4"/>
    <x v="39"/>
    <d v="2025-02-10T00:00:00"/>
    <x v="3"/>
    <x v="2"/>
    <x v="2"/>
    <x v="0"/>
    <x v="3"/>
    <x v="3"/>
    <x v="6"/>
    <x v="3"/>
  </r>
  <r>
    <s v="TX500994"/>
    <x v="2"/>
    <x v="10"/>
    <n v="67.3"/>
    <n v="1278.7"/>
    <x v="39"/>
    <d v="2025-02-13T00:00:00"/>
    <x v="2"/>
    <x v="2"/>
    <x v="0"/>
    <x v="0"/>
    <x v="3"/>
    <x v="5"/>
    <x v="6"/>
    <x v="2"/>
  </r>
  <r>
    <s v="TX500995"/>
    <x v="2"/>
    <x v="12"/>
    <n v="64.8"/>
    <n v="259.2"/>
    <x v="39"/>
    <d v="2025-02-12T00:00:00"/>
    <x v="2"/>
    <x v="3"/>
    <x v="0"/>
    <x v="0"/>
    <x v="3"/>
    <x v="2"/>
    <x v="6"/>
    <x v="2"/>
  </r>
  <r>
    <s v="TX500996"/>
    <x v="5"/>
    <x v="32"/>
    <n v="61.3"/>
    <n v="1348.6"/>
    <x v="39"/>
    <d v="2025-02-10T00:00:00"/>
    <x v="2"/>
    <x v="0"/>
    <x v="2"/>
    <x v="0"/>
    <x v="3"/>
    <x v="3"/>
    <x v="6"/>
    <x v="2"/>
  </r>
  <r>
    <s v="TX500997"/>
    <x v="14"/>
    <x v="0"/>
    <n v="32.9"/>
    <n v="32.9"/>
    <x v="39"/>
    <d v="2025-02-12T00:00:00"/>
    <x v="2"/>
    <x v="4"/>
    <x v="0"/>
    <x v="0"/>
    <x v="3"/>
    <x v="2"/>
    <x v="6"/>
    <x v="2"/>
  </r>
  <r>
    <s v="TX500998"/>
    <x v="6"/>
    <x v="1"/>
    <n v="100.8"/>
    <n v="201.6"/>
    <x v="39"/>
    <d v="2025-02-12T00:00:00"/>
    <x v="2"/>
    <x v="0"/>
    <x v="0"/>
    <x v="0"/>
    <x v="3"/>
    <x v="2"/>
    <x v="6"/>
    <x v="2"/>
  </r>
  <r>
    <s v="TX500999"/>
    <x v="8"/>
    <x v="12"/>
    <n v="25.1"/>
    <n v="100.4"/>
    <x v="39"/>
    <d v="2025-02-11T00:00:00"/>
    <x v="2"/>
    <x v="1"/>
    <x v="0"/>
    <x v="0"/>
    <x v="3"/>
    <x v="1"/>
    <x v="6"/>
    <x v="2"/>
  </r>
  <r>
    <s v="TX501000"/>
    <x v="17"/>
    <x v="0"/>
    <n v="48.5"/>
    <n v="48.5"/>
    <x v="39"/>
    <d v="2025-02-10T00:00:00"/>
    <x v="2"/>
    <x v="0"/>
    <x v="1"/>
    <x v="0"/>
    <x v="3"/>
    <x v="3"/>
    <x v="6"/>
    <x v="2"/>
  </r>
  <r>
    <s v="TX501001"/>
    <x v="7"/>
    <x v="1"/>
    <n v="33.6"/>
    <n v="67.2"/>
    <x v="39"/>
    <d v="2025-02-13T00:00:00"/>
    <x v="2"/>
    <x v="2"/>
    <x v="2"/>
    <x v="0"/>
    <x v="3"/>
    <x v="5"/>
    <x v="6"/>
    <x v="2"/>
  </r>
  <r>
    <s v="TX501002"/>
    <x v="8"/>
    <x v="0"/>
    <n v="39.299999999999997"/>
    <n v="39.299999999999997"/>
    <x v="39"/>
    <d v="2025-02-20T00:00:00"/>
    <x v="2"/>
    <x v="1"/>
    <x v="1"/>
    <x v="0"/>
    <x v="49"/>
    <x v="11"/>
    <x v="6"/>
    <x v="2"/>
  </r>
  <r>
    <s v="TX501003"/>
    <x v="4"/>
    <x v="7"/>
    <n v="48.8"/>
    <n v="488"/>
    <x v="39"/>
    <d v="2025-02-11T00:00:00"/>
    <x v="2"/>
    <x v="3"/>
    <x v="1"/>
    <x v="0"/>
    <x v="25"/>
    <x v="1"/>
    <x v="6"/>
    <x v="2"/>
  </r>
  <r>
    <s v="TX501004"/>
    <x v="6"/>
    <x v="8"/>
    <n v="72.8"/>
    <n v="582.4"/>
    <x v="39"/>
    <d v="2025-02-11T00:00:00"/>
    <x v="1"/>
    <x v="1"/>
    <x v="2"/>
    <x v="0"/>
    <x v="5"/>
    <x v="1"/>
    <x v="6"/>
    <x v="1"/>
  </r>
  <r>
    <s v="TX501005"/>
    <x v="10"/>
    <x v="8"/>
    <n v="46.2"/>
    <n v="369.6"/>
    <x v="39"/>
    <d v="2025-02-10T00:00:00"/>
    <x v="1"/>
    <x v="3"/>
    <x v="4"/>
    <x v="0"/>
    <x v="5"/>
    <x v="3"/>
    <x v="6"/>
    <x v="1"/>
  </r>
  <r>
    <s v="TX501006"/>
    <x v="4"/>
    <x v="1"/>
    <n v="20.7"/>
    <n v="41.4"/>
    <x v="39"/>
    <d v="2025-02-10T00:00:00"/>
    <x v="2"/>
    <x v="2"/>
    <x v="3"/>
    <x v="0"/>
    <x v="6"/>
    <x v="3"/>
    <x v="6"/>
    <x v="2"/>
  </r>
  <r>
    <s v="TX501007"/>
    <x v="0"/>
    <x v="0"/>
    <n v="35.700000000000003"/>
    <n v="35.700000000000003"/>
    <x v="39"/>
    <d v="2025-02-11T00:00:00"/>
    <x v="2"/>
    <x v="3"/>
    <x v="0"/>
    <x v="0"/>
    <x v="6"/>
    <x v="1"/>
    <x v="6"/>
    <x v="2"/>
  </r>
  <r>
    <s v="TX501008"/>
    <x v="2"/>
    <x v="27"/>
    <n v="166.2"/>
    <n v="2659.2"/>
    <x v="39"/>
    <d v="2025-02-11T00:00:00"/>
    <x v="0"/>
    <x v="2"/>
    <x v="0"/>
    <x v="0"/>
    <x v="7"/>
    <x v="1"/>
    <x v="6"/>
    <x v="0"/>
  </r>
  <r>
    <s v="TX501009"/>
    <x v="6"/>
    <x v="12"/>
    <n v="85.8"/>
    <n v="343.2"/>
    <x v="39"/>
    <d v="2025-02-10T00:00:00"/>
    <x v="2"/>
    <x v="1"/>
    <x v="1"/>
    <x v="0"/>
    <x v="7"/>
    <x v="3"/>
    <x v="6"/>
    <x v="2"/>
  </r>
  <r>
    <s v="TX501010"/>
    <x v="8"/>
    <x v="2"/>
    <n v="26"/>
    <n v="78"/>
    <x v="39"/>
    <d v="2025-02-11T00:00:00"/>
    <x v="3"/>
    <x v="1"/>
    <x v="0"/>
    <x v="0"/>
    <x v="7"/>
    <x v="1"/>
    <x v="6"/>
    <x v="3"/>
  </r>
  <r>
    <s v="TX501011"/>
    <x v="2"/>
    <x v="15"/>
    <n v="116.6"/>
    <n v="1515.8"/>
    <x v="39"/>
    <d v="2025-02-12T00:00:00"/>
    <x v="2"/>
    <x v="0"/>
    <x v="0"/>
    <x v="0"/>
    <x v="8"/>
    <x v="2"/>
    <x v="6"/>
    <x v="2"/>
  </r>
  <r>
    <s v="TX501012"/>
    <x v="9"/>
    <x v="3"/>
    <n v="53.9"/>
    <n v="377.3"/>
    <x v="39"/>
    <d v="2025-02-12T00:00:00"/>
    <x v="3"/>
    <x v="0"/>
    <x v="2"/>
    <x v="0"/>
    <x v="8"/>
    <x v="2"/>
    <x v="6"/>
    <x v="3"/>
  </r>
  <r>
    <s v="TX501013"/>
    <x v="12"/>
    <x v="9"/>
    <n v="72.3"/>
    <n v="361.5"/>
    <x v="39"/>
    <d v="2025-02-11T00:00:00"/>
    <x v="0"/>
    <x v="2"/>
    <x v="2"/>
    <x v="0"/>
    <x v="8"/>
    <x v="1"/>
    <x v="6"/>
    <x v="0"/>
  </r>
  <r>
    <s v="TX501014"/>
    <x v="5"/>
    <x v="1"/>
    <n v="31.4"/>
    <n v="62.8"/>
    <x v="39"/>
    <d v="2025-02-11T00:00:00"/>
    <x v="2"/>
    <x v="0"/>
    <x v="0"/>
    <x v="0"/>
    <x v="8"/>
    <x v="1"/>
    <x v="6"/>
    <x v="2"/>
  </r>
  <r>
    <s v="TX501015"/>
    <x v="13"/>
    <x v="1"/>
    <n v="53.1"/>
    <n v="106.2"/>
    <x v="39"/>
    <d v="2025-02-12T00:00:00"/>
    <x v="1"/>
    <x v="1"/>
    <x v="0"/>
    <x v="0"/>
    <x v="8"/>
    <x v="2"/>
    <x v="6"/>
    <x v="1"/>
  </r>
  <r>
    <s v="TX501016"/>
    <x v="2"/>
    <x v="12"/>
    <n v="56.2"/>
    <n v="224.8"/>
    <x v="39"/>
    <d v="2025-02-10T00:00:00"/>
    <x v="2"/>
    <x v="0"/>
    <x v="0"/>
    <x v="0"/>
    <x v="8"/>
    <x v="3"/>
    <x v="6"/>
    <x v="2"/>
  </r>
  <r>
    <s v="TX501017"/>
    <x v="1"/>
    <x v="7"/>
    <n v="77.3"/>
    <n v="773"/>
    <x v="39"/>
    <d v="2025-02-10T00:00:00"/>
    <x v="2"/>
    <x v="2"/>
    <x v="0"/>
    <x v="0"/>
    <x v="11"/>
    <x v="3"/>
    <x v="6"/>
    <x v="2"/>
  </r>
  <r>
    <s v="TX501018"/>
    <x v="6"/>
    <x v="15"/>
    <n v="57.8"/>
    <n v="751.4"/>
    <x v="39"/>
    <d v="2025-02-10T00:00:00"/>
    <x v="0"/>
    <x v="0"/>
    <x v="0"/>
    <x v="0"/>
    <x v="53"/>
    <x v="3"/>
    <x v="6"/>
    <x v="0"/>
  </r>
  <r>
    <s v="TX501019"/>
    <x v="12"/>
    <x v="20"/>
    <n v="42.1"/>
    <n v="631.5"/>
    <x v="39"/>
    <d v="2025-02-11T00:00:00"/>
    <x v="2"/>
    <x v="1"/>
    <x v="1"/>
    <x v="0"/>
    <x v="53"/>
    <x v="1"/>
    <x v="6"/>
    <x v="2"/>
  </r>
  <r>
    <s v="TX501020"/>
    <x v="8"/>
    <x v="11"/>
    <n v="22.8"/>
    <n v="205.20000000000002"/>
    <x v="39"/>
    <d v="2025-02-13T00:00:00"/>
    <x v="1"/>
    <x v="2"/>
    <x v="2"/>
    <x v="0"/>
    <x v="19"/>
    <x v="5"/>
    <x v="6"/>
    <x v="1"/>
  </r>
  <r>
    <s v="TX501021"/>
    <x v="2"/>
    <x v="2"/>
    <n v="171.1"/>
    <n v="513.29999999999995"/>
    <x v="40"/>
    <d v="2025-02-17T00:00:00"/>
    <x v="2"/>
    <x v="2"/>
    <x v="1"/>
    <x v="0"/>
    <x v="19"/>
    <x v="6"/>
    <x v="6"/>
    <x v="2"/>
  </r>
  <r>
    <s v="TX501022"/>
    <x v="8"/>
    <x v="0"/>
    <n v="28"/>
    <n v="28"/>
    <x v="40"/>
    <d v="2025-02-12T00:00:00"/>
    <x v="1"/>
    <x v="2"/>
    <x v="2"/>
    <x v="0"/>
    <x v="21"/>
    <x v="1"/>
    <x v="6"/>
    <x v="1"/>
  </r>
  <r>
    <s v="TX501023"/>
    <x v="6"/>
    <x v="3"/>
    <n v="50.2"/>
    <n v="351.40000000000003"/>
    <x v="40"/>
    <d v="2025-02-12T00:00:00"/>
    <x v="1"/>
    <x v="2"/>
    <x v="0"/>
    <x v="0"/>
    <x v="21"/>
    <x v="1"/>
    <x v="6"/>
    <x v="1"/>
  </r>
  <r>
    <s v="TX501024"/>
    <x v="6"/>
    <x v="1"/>
    <n v="56"/>
    <n v="112"/>
    <x v="40"/>
    <d v="2025-02-10T00:00:00"/>
    <x v="1"/>
    <x v="0"/>
    <x v="2"/>
    <x v="0"/>
    <x v="22"/>
    <x v="7"/>
    <x v="6"/>
    <x v="1"/>
  </r>
  <r>
    <s v="TX501025"/>
    <x v="1"/>
    <x v="1"/>
    <n v="38.299999999999997"/>
    <n v="76.599999999999994"/>
    <x v="40"/>
    <d v="2025-02-11T00:00:00"/>
    <x v="2"/>
    <x v="1"/>
    <x v="0"/>
    <x v="0"/>
    <x v="3"/>
    <x v="3"/>
    <x v="6"/>
    <x v="2"/>
  </r>
  <r>
    <s v="TX501026"/>
    <x v="0"/>
    <x v="9"/>
    <n v="22.3"/>
    <n v="111.5"/>
    <x v="40"/>
    <d v="2025-02-14T00:00:00"/>
    <x v="2"/>
    <x v="2"/>
    <x v="1"/>
    <x v="0"/>
    <x v="3"/>
    <x v="5"/>
    <x v="6"/>
    <x v="2"/>
  </r>
  <r>
    <s v="TX501027"/>
    <x v="0"/>
    <x v="2"/>
    <n v="22.3"/>
    <n v="66.900000000000006"/>
    <x v="40"/>
    <d v="2025-02-13T00:00:00"/>
    <x v="2"/>
    <x v="2"/>
    <x v="0"/>
    <x v="0"/>
    <x v="3"/>
    <x v="2"/>
    <x v="6"/>
    <x v="2"/>
  </r>
  <r>
    <s v="TX501028"/>
    <x v="1"/>
    <x v="0"/>
    <n v="32.9"/>
    <n v="32.9"/>
    <x v="40"/>
    <d v="2025-02-15T00:00:00"/>
    <x v="2"/>
    <x v="0"/>
    <x v="0"/>
    <x v="0"/>
    <x v="3"/>
    <x v="0"/>
    <x v="6"/>
    <x v="2"/>
  </r>
  <r>
    <s v="TX501029"/>
    <x v="10"/>
    <x v="2"/>
    <n v="31.9"/>
    <n v="95.699999999999989"/>
    <x v="40"/>
    <d v="2025-02-15T00:00:00"/>
    <x v="2"/>
    <x v="0"/>
    <x v="0"/>
    <x v="0"/>
    <x v="3"/>
    <x v="0"/>
    <x v="6"/>
    <x v="2"/>
  </r>
  <r>
    <s v="TX501030"/>
    <x v="6"/>
    <x v="1"/>
    <n v="94"/>
    <n v="188"/>
    <x v="40"/>
    <d v="2025-02-11T00:00:00"/>
    <x v="1"/>
    <x v="2"/>
    <x v="2"/>
    <x v="0"/>
    <x v="3"/>
    <x v="3"/>
    <x v="6"/>
    <x v="1"/>
  </r>
  <r>
    <s v="TX501031"/>
    <x v="10"/>
    <x v="1"/>
    <n v="30.7"/>
    <n v="61.4"/>
    <x v="40"/>
    <d v="2025-02-11T00:00:00"/>
    <x v="2"/>
    <x v="0"/>
    <x v="1"/>
    <x v="0"/>
    <x v="3"/>
    <x v="3"/>
    <x v="6"/>
    <x v="2"/>
  </r>
  <r>
    <s v="TX501032"/>
    <x v="5"/>
    <x v="9"/>
    <n v="90.5"/>
    <n v="452.5"/>
    <x v="40"/>
    <d v="2025-02-17T00:00:00"/>
    <x v="1"/>
    <x v="0"/>
    <x v="2"/>
    <x v="0"/>
    <x v="3"/>
    <x v="6"/>
    <x v="6"/>
    <x v="1"/>
  </r>
  <r>
    <s v="TX501033"/>
    <x v="8"/>
    <x v="9"/>
    <n v="25.3"/>
    <n v="126.5"/>
    <x v="40"/>
    <d v="2025-02-14T00:00:00"/>
    <x v="2"/>
    <x v="0"/>
    <x v="2"/>
    <x v="0"/>
    <x v="3"/>
    <x v="5"/>
    <x v="6"/>
    <x v="2"/>
  </r>
  <r>
    <s v="TX501034"/>
    <x v="6"/>
    <x v="2"/>
    <n v="58.1"/>
    <n v="174.3"/>
    <x v="40"/>
    <d v="2025-02-14T00:00:00"/>
    <x v="0"/>
    <x v="0"/>
    <x v="2"/>
    <x v="0"/>
    <x v="3"/>
    <x v="5"/>
    <x v="6"/>
    <x v="0"/>
  </r>
  <r>
    <s v="TX501035"/>
    <x v="2"/>
    <x v="2"/>
    <n v="74.900000000000006"/>
    <n v="224.70000000000002"/>
    <x v="40"/>
    <d v="2025-02-11T00:00:00"/>
    <x v="2"/>
    <x v="4"/>
    <x v="0"/>
    <x v="0"/>
    <x v="3"/>
    <x v="3"/>
    <x v="6"/>
    <x v="2"/>
  </r>
  <r>
    <s v="TX501036"/>
    <x v="4"/>
    <x v="1"/>
    <n v="32.5"/>
    <n v="65"/>
    <x v="40"/>
    <d v="2025-02-11T00:00:00"/>
    <x v="1"/>
    <x v="2"/>
    <x v="2"/>
    <x v="0"/>
    <x v="43"/>
    <x v="3"/>
    <x v="6"/>
    <x v="1"/>
  </r>
  <r>
    <s v="TX501037"/>
    <x v="4"/>
    <x v="9"/>
    <n v="62"/>
    <n v="310"/>
    <x v="40"/>
    <d v="2025-02-11T00:00:00"/>
    <x v="1"/>
    <x v="4"/>
    <x v="2"/>
    <x v="0"/>
    <x v="25"/>
    <x v="3"/>
    <x v="6"/>
    <x v="1"/>
  </r>
  <r>
    <s v="TX501038"/>
    <x v="13"/>
    <x v="13"/>
    <n v="28.9"/>
    <n v="173.39999999999998"/>
    <x v="40"/>
    <d v="2025-02-13T00:00:00"/>
    <x v="2"/>
    <x v="0"/>
    <x v="1"/>
    <x v="0"/>
    <x v="6"/>
    <x v="2"/>
    <x v="6"/>
    <x v="2"/>
  </r>
  <r>
    <s v="TX501039"/>
    <x v="6"/>
    <x v="8"/>
    <n v="42.8"/>
    <n v="342.4"/>
    <x v="40"/>
    <d v="2025-02-12T00:00:00"/>
    <x v="2"/>
    <x v="0"/>
    <x v="2"/>
    <x v="0"/>
    <x v="6"/>
    <x v="1"/>
    <x v="6"/>
    <x v="2"/>
  </r>
  <r>
    <s v="TX501040"/>
    <x v="8"/>
    <x v="8"/>
    <n v="39.4"/>
    <n v="315.2"/>
    <x v="40"/>
    <d v="2025-02-12T00:00:00"/>
    <x v="1"/>
    <x v="0"/>
    <x v="0"/>
    <x v="0"/>
    <x v="36"/>
    <x v="1"/>
    <x v="6"/>
    <x v="1"/>
  </r>
  <r>
    <s v="TX501041"/>
    <x v="18"/>
    <x v="2"/>
    <n v="66.400000000000006"/>
    <n v="199.20000000000002"/>
    <x v="40"/>
    <d v="2025-02-11T00:00:00"/>
    <x v="0"/>
    <x v="2"/>
    <x v="1"/>
    <x v="0"/>
    <x v="7"/>
    <x v="3"/>
    <x v="6"/>
    <x v="0"/>
  </r>
  <r>
    <s v="TX501042"/>
    <x v="17"/>
    <x v="12"/>
    <n v="35.9"/>
    <n v="143.6"/>
    <x v="40"/>
    <d v="2025-02-17T00:00:00"/>
    <x v="2"/>
    <x v="1"/>
    <x v="0"/>
    <x v="0"/>
    <x v="7"/>
    <x v="6"/>
    <x v="6"/>
    <x v="2"/>
  </r>
  <r>
    <s v="TX501043"/>
    <x v="0"/>
    <x v="12"/>
    <n v="26.9"/>
    <n v="107.6"/>
    <x v="40"/>
    <d v="2025-02-11T00:00:00"/>
    <x v="1"/>
    <x v="1"/>
    <x v="0"/>
    <x v="0"/>
    <x v="7"/>
    <x v="3"/>
    <x v="6"/>
    <x v="1"/>
  </r>
  <r>
    <s v="TX501044"/>
    <x v="2"/>
    <x v="0"/>
    <n v="55.1"/>
    <n v="55.1"/>
    <x v="40"/>
    <d v="2025-02-11T00:00:00"/>
    <x v="2"/>
    <x v="0"/>
    <x v="0"/>
    <x v="0"/>
    <x v="7"/>
    <x v="3"/>
    <x v="6"/>
    <x v="2"/>
  </r>
  <r>
    <s v="TX501045"/>
    <x v="4"/>
    <x v="1"/>
    <n v="23.9"/>
    <n v="47.8"/>
    <x v="40"/>
    <d v="2025-02-11T00:00:00"/>
    <x v="1"/>
    <x v="0"/>
    <x v="2"/>
    <x v="0"/>
    <x v="8"/>
    <x v="3"/>
    <x v="6"/>
    <x v="1"/>
  </r>
  <r>
    <s v="TX501046"/>
    <x v="9"/>
    <x v="15"/>
    <n v="21.1"/>
    <n v="274.3"/>
    <x v="40"/>
    <d v="2025-02-18T00:00:00"/>
    <x v="2"/>
    <x v="0"/>
    <x v="1"/>
    <x v="0"/>
    <x v="8"/>
    <x v="9"/>
    <x v="6"/>
    <x v="2"/>
  </r>
  <r>
    <s v="TX501047"/>
    <x v="8"/>
    <x v="9"/>
    <n v="33.799999999999997"/>
    <n v="169"/>
    <x v="40"/>
    <d v="2025-02-12T00:00:00"/>
    <x v="2"/>
    <x v="0"/>
    <x v="0"/>
    <x v="0"/>
    <x v="8"/>
    <x v="1"/>
    <x v="6"/>
    <x v="2"/>
  </r>
  <r>
    <s v="TX501048"/>
    <x v="2"/>
    <x v="12"/>
    <n v="56.1"/>
    <n v="224.4"/>
    <x v="40"/>
    <d v="2025-02-10T00:00:00"/>
    <x v="2"/>
    <x v="3"/>
    <x v="2"/>
    <x v="0"/>
    <x v="9"/>
    <x v="7"/>
    <x v="6"/>
    <x v="2"/>
  </r>
  <r>
    <s v="TX501049"/>
    <x v="3"/>
    <x v="0"/>
    <n v="58.5"/>
    <n v="58.5"/>
    <x v="41"/>
    <d v="2025-02-15T00:00:00"/>
    <x v="2"/>
    <x v="1"/>
    <x v="2"/>
    <x v="0"/>
    <x v="9"/>
    <x v="5"/>
    <x v="6"/>
    <x v="2"/>
  </r>
  <r>
    <s v="TX501050"/>
    <x v="6"/>
    <x v="0"/>
    <n v="84.2"/>
    <n v="84.2"/>
    <x v="41"/>
    <d v="2025-02-13T00:00:00"/>
    <x v="1"/>
    <x v="3"/>
    <x v="0"/>
    <x v="0"/>
    <x v="11"/>
    <x v="1"/>
    <x v="6"/>
    <x v="1"/>
  </r>
  <r>
    <s v="TX501051"/>
    <x v="11"/>
    <x v="12"/>
    <n v="52"/>
    <n v="208"/>
    <x v="41"/>
    <d v="2025-02-14T00:00:00"/>
    <x v="1"/>
    <x v="0"/>
    <x v="0"/>
    <x v="0"/>
    <x v="11"/>
    <x v="2"/>
    <x v="6"/>
    <x v="1"/>
  </r>
  <r>
    <s v="TX501052"/>
    <x v="4"/>
    <x v="9"/>
    <n v="31.5"/>
    <n v="157.5"/>
    <x v="41"/>
    <d v="2025-02-12T00:00:00"/>
    <x v="2"/>
    <x v="0"/>
    <x v="2"/>
    <x v="0"/>
    <x v="11"/>
    <x v="3"/>
    <x v="6"/>
    <x v="2"/>
  </r>
  <r>
    <s v="TX501053"/>
    <x v="16"/>
    <x v="2"/>
    <n v="46.2"/>
    <n v="138.60000000000002"/>
    <x v="41"/>
    <d v="2025-02-12T00:00:00"/>
    <x v="1"/>
    <x v="0"/>
    <x v="0"/>
    <x v="0"/>
    <x v="53"/>
    <x v="3"/>
    <x v="6"/>
    <x v="1"/>
  </r>
  <r>
    <s v="TX501054"/>
    <x v="2"/>
    <x v="13"/>
    <n v="135"/>
    <n v="810"/>
    <x v="41"/>
    <d v="2025-02-12T00:00:00"/>
    <x v="2"/>
    <x v="1"/>
    <x v="2"/>
    <x v="0"/>
    <x v="18"/>
    <x v="3"/>
    <x v="6"/>
    <x v="2"/>
  </r>
  <r>
    <s v="TX501055"/>
    <x v="12"/>
    <x v="2"/>
    <n v="92.2"/>
    <n v="276.60000000000002"/>
    <x v="41"/>
    <d v="2025-02-15T00:00:00"/>
    <x v="1"/>
    <x v="0"/>
    <x v="0"/>
    <x v="0"/>
    <x v="21"/>
    <x v="5"/>
    <x v="6"/>
    <x v="1"/>
  </r>
  <r>
    <s v="TX501056"/>
    <x v="8"/>
    <x v="0"/>
    <n v="36.6"/>
    <n v="36.6"/>
    <x v="41"/>
    <d v="2025-02-13T00:00:00"/>
    <x v="1"/>
    <x v="2"/>
    <x v="2"/>
    <x v="0"/>
    <x v="21"/>
    <x v="1"/>
    <x v="6"/>
    <x v="1"/>
  </r>
  <r>
    <s v="TX501057"/>
    <x v="9"/>
    <x v="1"/>
    <n v="50.6"/>
    <n v="101.2"/>
    <x v="41"/>
    <d v="2025-02-14T00:00:00"/>
    <x v="2"/>
    <x v="0"/>
    <x v="0"/>
    <x v="0"/>
    <x v="2"/>
    <x v="2"/>
    <x v="6"/>
    <x v="2"/>
  </r>
  <r>
    <s v="TX501058"/>
    <x v="18"/>
    <x v="3"/>
    <n v="56.7"/>
    <n v="396.90000000000003"/>
    <x v="41"/>
    <d v="2025-02-14T00:00:00"/>
    <x v="2"/>
    <x v="0"/>
    <x v="0"/>
    <x v="0"/>
    <x v="2"/>
    <x v="2"/>
    <x v="6"/>
    <x v="2"/>
  </r>
  <r>
    <s v="TX501059"/>
    <x v="9"/>
    <x v="15"/>
    <n v="22.9"/>
    <n v="297.7"/>
    <x v="41"/>
    <d v="2025-02-12T00:00:00"/>
    <x v="2"/>
    <x v="0"/>
    <x v="1"/>
    <x v="0"/>
    <x v="44"/>
    <x v="3"/>
    <x v="6"/>
    <x v="2"/>
  </r>
  <r>
    <s v="TX501060"/>
    <x v="15"/>
    <x v="10"/>
    <n v="53.6"/>
    <n v="1018.4"/>
    <x v="41"/>
    <d v="2025-02-12T00:00:00"/>
    <x v="1"/>
    <x v="0"/>
    <x v="0"/>
    <x v="0"/>
    <x v="22"/>
    <x v="3"/>
    <x v="6"/>
    <x v="1"/>
  </r>
  <r>
    <s v="TX501061"/>
    <x v="18"/>
    <x v="1"/>
    <n v="30.2"/>
    <n v="60.4"/>
    <x v="41"/>
    <d v="2025-02-13T00:00:00"/>
    <x v="0"/>
    <x v="2"/>
    <x v="2"/>
    <x v="0"/>
    <x v="3"/>
    <x v="1"/>
    <x v="6"/>
    <x v="0"/>
  </r>
  <r>
    <s v="TX501062"/>
    <x v="15"/>
    <x v="13"/>
    <n v="83.4"/>
    <n v="500.40000000000003"/>
    <x v="41"/>
    <d v="2025-02-12T00:00:00"/>
    <x v="1"/>
    <x v="1"/>
    <x v="2"/>
    <x v="0"/>
    <x v="3"/>
    <x v="3"/>
    <x v="6"/>
    <x v="1"/>
  </r>
  <r>
    <s v="TX501063"/>
    <x v="13"/>
    <x v="4"/>
    <n v="16.600000000000001"/>
    <n v="199.20000000000002"/>
    <x v="41"/>
    <d v="2025-02-13T00:00:00"/>
    <x v="1"/>
    <x v="1"/>
    <x v="0"/>
    <x v="0"/>
    <x v="3"/>
    <x v="1"/>
    <x v="6"/>
    <x v="1"/>
  </r>
  <r>
    <s v="TX501064"/>
    <x v="8"/>
    <x v="14"/>
    <n v="21.9"/>
    <n v="372.29999999999995"/>
    <x v="41"/>
    <d v="2025-02-13T00:00:00"/>
    <x v="2"/>
    <x v="4"/>
    <x v="1"/>
    <x v="0"/>
    <x v="3"/>
    <x v="1"/>
    <x v="6"/>
    <x v="2"/>
  </r>
  <r>
    <s v="TX501065"/>
    <x v="8"/>
    <x v="31"/>
    <n v="33.799999999999997"/>
    <n v="946.39999999999986"/>
    <x v="41"/>
    <d v="2025-02-13T00:00:00"/>
    <x v="1"/>
    <x v="2"/>
    <x v="4"/>
    <x v="0"/>
    <x v="3"/>
    <x v="1"/>
    <x v="6"/>
    <x v="1"/>
  </r>
  <r>
    <s v="TX501066"/>
    <x v="18"/>
    <x v="1"/>
    <n v="53.2"/>
    <n v="106.4"/>
    <x v="41"/>
    <d v="2025-02-11T00:00:00"/>
    <x v="1"/>
    <x v="1"/>
    <x v="0"/>
    <x v="0"/>
    <x v="3"/>
    <x v="7"/>
    <x v="6"/>
    <x v="1"/>
  </r>
  <r>
    <s v="TX501067"/>
    <x v="2"/>
    <x v="1"/>
    <n v="176.7"/>
    <n v="353.4"/>
    <x v="41"/>
    <d v="2025-02-14T00:00:00"/>
    <x v="2"/>
    <x v="2"/>
    <x v="0"/>
    <x v="0"/>
    <x v="3"/>
    <x v="2"/>
    <x v="6"/>
    <x v="2"/>
  </r>
  <r>
    <s v="TX501068"/>
    <x v="12"/>
    <x v="2"/>
    <n v="54"/>
    <n v="162"/>
    <x v="41"/>
    <d v="2025-02-14T00:00:00"/>
    <x v="1"/>
    <x v="0"/>
    <x v="1"/>
    <x v="0"/>
    <x v="3"/>
    <x v="2"/>
    <x v="6"/>
    <x v="1"/>
  </r>
  <r>
    <s v="TX501069"/>
    <x v="9"/>
    <x v="1"/>
    <n v="70.099999999999994"/>
    <n v="140.19999999999999"/>
    <x v="41"/>
    <d v="2025-02-19T00:00:00"/>
    <x v="2"/>
    <x v="3"/>
    <x v="2"/>
    <x v="0"/>
    <x v="3"/>
    <x v="9"/>
    <x v="6"/>
    <x v="2"/>
  </r>
  <r>
    <s v="TX501070"/>
    <x v="8"/>
    <x v="0"/>
    <n v="26.5"/>
    <n v="26.5"/>
    <x v="41"/>
    <d v="2025-02-13T00:00:00"/>
    <x v="2"/>
    <x v="1"/>
    <x v="0"/>
    <x v="0"/>
    <x v="3"/>
    <x v="1"/>
    <x v="6"/>
    <x v="2"/>
  </r>
  <r>
    <s v="TX501071"/>
    <x v="7"/>
    <x v="9"/>
    <n v="89"/>
    <n v="445"/>
    <x v="41"/>
    <d v="2025-02-13T00:00:00"/>
    <x v="1"/>
    <x v="2"/>
    <x v="4"/>
    <x v="0"/>
    <x v="3"/>
    <x v="1"/>
    <x v="6"/>
    <x v="1"/>
  </r>
  <r>
    <s v="TX501072"/>
    <x v="1"/>
    <x v="13"/>
    <n v="47"/>
    <n v="282"/>
    <x v="41"/>
    <d v="2025-02-14T00:00:00"/>
    <x v="2"/>
    <x v="3"/>
    <x v="0"/>
    <x v="0"/>
    <x v="24"/>
    <x v="2"/>
    <x v="6"/>
    <x v="2"/>
  </r>
  <r>
    <s v="TX501073"/>
    <x v="3"/>
    <x v="1"/>
    <n v="55.2"/>
    <n v="110.4"/>
    <x v="41"/>
    <d v="2025-02-14T00:00:00"/>
    <x v="1"/>
    <x v="1"/>
    <x v="1"/>
    <x v="0"/>
    <x v="6"/>
    <x v="2"/>
    <x v="6"/>
    <x v="1"/>
  </r>
  <r>
    <s v="TX501074"/>
    <x v="8"/>
    <x v="39"/>
    <n v="33.299999999999997"/>
    <n v="1398.6"/>
    <x v="41"/>
    <d v="2025-02-25T00:00:00"/>
    <x v="1"/>
    <x v="1"/>
    <x v="2"/>
    <x v="0"/>
    <x v="6"/>
    <x v="12"/>
    <x v="6"/>
    <x v="1"/>
  </r>
  <r>
    <s v="TX501075"/>
    <x v="2"/>
    <x v="12"/>
    <n v="110.9"/>
    <n v="443.6"/>
    <x v="42"/>
    <d v="2025-02-12T00:00:00"/>
    <x v="1"/>
    <x v="2"/>
    <x v="4"/>
    <x v="0"/>
    <x v="6"/>
    <x v="7"/>
    <x v="6"/>
    <x v="1"/>
  </r>
  <r>
    <s v="TX501076"/>
    <x v="2"/>
    <x v="13"/>
    <n v="67.3"/>
    <n v="403.79999999999995"/>
    <x v="42"/>
    <d v="2025-02-13T00:00:00"/>
    <x v="1"/>
    <x v="0"/>
    <x v="0"/>
    <x v="0"/>
    <x v="8"/>
    <x v="3"/>
    <x v="6"/>
    <x v="1"/>
  </r>
  <r>
    <s v="TX501077"/>
    <x v="6"/>
    <x v="2"/>
    <n v="69.7"/>
    <n v="209.10000000000002"/>
    <x v="42"/>
    <d v="2025-02-13T00:00:00"/>
    <x v="1"/>
    <x v="2"/>
    <x v="1"/>
    <x v="0"/>
    <x v="8"/>
    <x v="3"/>
    <x v="6"/>
    <x v="1"/>
  </r>
  <r>
    <s v="TX501078"/>
    <x v="5"/>
    <x v="0"/>
    <n v="39.1"/>
    <n v="39.1"/>
    <x v="42"/>
    <d v="2025-02-17T00:00:00"/>
    <x v="1"/>
    <x v="0"/>
    <x v="1"/>
    <x v="0"/>
    <x v="17"/>
    <x v="0"/>
    <x v="6"/>
    <x v="1"/>
  </r>
  <r>
    <s v="TX501079"/>
    <x v="2"/>
    <x v="2"/>
    <n v="208.6"/>
    <n v="625.79999999999995"/>
    <x v="42"/>
    <d v="2025-02-12T00:00:00"/>
    <x v="1"/>
    <x v="4"/>
    <x v="2"/>
    <x v="0"/>
    <x v="17"/>
    <x v="7"/>
    <x v="6"/>
    <x v="1"/>
  </r>
  <r>
    <s v="TX501080"/>
    <x v="15"/>
    <x v="2"/>
    <n v="27.8"/>
    <n v="83.4"/>
    <x v="42"/>
    <d v="2025-02-13T00:00:00"/>
    <x v="1"/>
    <x v="3"/>
    <x v="1"/>
    <x v="0"/>
    <x v="11"/>
    <x v="3"/>
    <x v="6"/>
    <x v="1"/>
  </r>
  <r>
    <s v="TX501081"/>
    <x v="10"/>
    <x v="9"/>
    <n v="29.4"/>
    <n v="147"/>
    <x v="42"/>
    <d v="2025-02-14T00:00:00"/>
    <x v="2"/>
    <x v="0"/>
    <x v="0"/>
    <x v="0"/>
    <x v="11"/>
    <x v="1"/>
    <x v="6"/>
    <x v="2"/>
  </r>
  <r>
    <s v="TX501082"/>
    <x v="9"/>
    <x v="1"/>
    <n v="29.2"/>
    <n v="58.4"/>
    <x v="42"/>
    <d v="2025-02-14T00:00:00"/>
    <x v="2"/>
    <x v="1"/>
    <x v="2"/>
    <x v="0"/>
    <x v="20"/>
    <x v="1"/>
    <x v="6"/>
    <x v="2"/>
  </r>
  <r>
    <s v="TX501083"/>
    <x v="10"/>
    <x v="9"/>
    <n v="26.5"/>
    <n v="132.5"/>
    <x v="42"/>
    <d v="2025-02-14T00:00:00"/>
    <x v="2"/>
    <x v="0"/>
    <x v="0"/>
    <x v="0"/>
    <x v="52"/>
    <x v="1"/>
    <x v="6"/>
    <x v="2"/>
  </r>
  <r>
    <s v="TX501084"/>
    <x v="5"/>
    <x v="0"/>
    <n v="30.3"/>
    <n v="30.3"/>
    <x v="42"/>
    <d v="2025-02-13T00:00:00"/>
    <x v="2"/>
    <x v="4"/>
    <x v="1"/>
    <x v="0"/>
    <x v="13"/>
    <x v="3"/>
    <x v="6"/>
    <x v="2"/>
  </r>
  <r>
    <s v="TX501085"/>
    <x v="16"/>
    <x v="4"/>
    <n v="39.700000000000003"/>
    <n v="476.40000000000003"/>
    <x v="42"/>
    <d v="2025-02-13T00:00:00"/>
    <x v="2"/>
    <x v="0"/>
    <x v="0"/>
    <x v="0"/>
    <x v="21"/>
    <x v="3"/>
    <x v="6"/>
    <x v="2"/>
  </r>
  <r>
    <s v="TX501086"/>
    <x v="7"/>
    <x v="7"/>
    <n v="58.9"/>
    <n v="589"/>
    <x v="42"/>
    <d v="2025-02-14T00:00:00"/>
    <x v="2"/>
    <x v="1"/>
    <x v="4"/>
    <x v="0"/>
    <x v="21"/>
    <x v="1"/>
    <x v="6"/>
    <x v="2"/>
  </r>
  <r>
    <s v="TX501087"/>
    <x v="2"/>
    <x v="1"/>
    <n v="174.1"/>
    <n v="348.2"/>
    <x v="42"/>
    <d v="2025-02-14T00:00:00"/>
    <x v="2"/>
    <x v="0"/>
    <x v="1"/>
    <x v="0"/>
    <x v="46"/>
    <x v="1"/>
    <x v="6"/>
    <x v="2"/>
  </r>
  <r>
    <s v="TX501088"/>
    <x v="6"/>
    <x v="1"/>
    <n v="70.8"/>
    <n v="141.6"/>
    <x v="42"/>
    <d v="2025-02-15T00:00:00"/>
    <x v="1"/>
    <x v="2"/>
    <x v="0"/>
    <x v="0"/>
    <x v="22"/>
    <x v="2"/>
    <x v="6"/>
    <x v="1"/>
  </r>
  <r>
    <s v="TX501089"/>
    <x v="7"/>
    <x v="1"/>
    <n v="57.4"/>
    <n v="114.8"/>
    <x v="42"/>
    <d v="2025-02-14T00:00:00"/>
    <x v="2"/>
    <x v="1"/>
    <x v="1"/>
    <x v="0"/>
    <x v="34"/>
    <x v="1"/>
    <x v="6"/>
    <x v="2"/>
  </r>
  <r>
    <s v="TX501090"/>
    <x v="0"/>
    <x v="1"/>
    <n v="28.5"/>
    <n v="57"/>
    <x v="42"/>
    <d v="2025-02-14T00:00:00"/>
    <x v="1"/>
    <x v="3"/>
    <x v="1"/>
    <x v="0"/>
    <x v="3"/>
    <x v="1"/>
    <x v="6"/>
    <x v="1"/>
  </r>
  <r>
    <s v="TX501091"/>
    <x v="2"/>
    <x v="28"/>
    <n v="106.6"/>
    <n v="2132"/>
    <x v="42"/>
    <d v="2025-02-13T00:00:00"/>
    <x v="0"/>
    <x v="1"/>
    <x v="4"/>
    <x v="0"/>
    <x v="3"/>
    <x v="3"/>
    <x v="6"/>
    <x v="0"/>
  </r>
  <r>
    <s v="TX501092"/>
    <x v="2"/>
    <x v="2"/>
    <n v="119.7"/>
    <n v="359.1"/>
    <x v="42"/>
    <d v="2025-02-13T00:00:00"/>
    <x v="2"/>
    <x v="1"/>
    <x v="4"/>
    <x v="0"/>
    <x v="3"/>
    <x v="3"/>
    <x v="6"/>
    <x v="2"/>
  </r>
  <r>
    <s v="TX501093"/>
    <x v="18"/>
    <x v="0"/>
    <n v="73.3"/>
    <n v="73.3"/>
    <x v="42"/>
    <d v="2025-02-17T00:00:00"/>
    <x v="2"/>
    <x v="0"/>
    <x v="2"/>
    <x v="0"/>
    <x v="3"/>
    <x v="0"/>
    <x v="6"/>
    <x v="2"/>
  </r>
  <r>
    <s v="TX501094"/>
    <x v="0"/>
    <x v="1"/>
    <n v="25.8"/>
    <n v="51.6"/>
    <x v="42"/>
    <d v="2025-02-26T00:00:00"/>
    <x v="1"/>
    <x v="2"/>
    <x v="0"/>
    <x v="0"/>
    <x v="3"/>
    <x v="12"/>
    <x v="6"/>
    <x v="1"/>
  </r>
  <r>
    <s v="TX501095"/>
    <x v="17"/>
    <x v="2"/>
    <n v="49.1"/>
    <n v="147.30000000000001"/>
    <x v="42"/>
    <d v="2025-02-14T00:00:00"/>
    <x v="2"/>
    <x v="0"/>
    <x v="0"/>
    <x v="0"/>
    <x v="24"/>
    <x v="1"/>
    <x v="6"/>
    <x v="2"/>
  </r>
  <r>
    <s v="TX501096"/>
    <x v="1"/>
    <x v="0"/>
    <n v="44.9"/>
    <n v="44.9"/>
    <x v="42"/>
    <d v="2025-02-15T00:00:00"/>
    <x v="2"/>
    <x v="3"/>
    <x v="2"/>
    <x v="0"/>
    <x v="6"/>
    <x v="2"/>
    <x v="6"/>
    <x v="2"/>
  </r>
  <r>
    <s v="TX501097"/>
    <x v="15"/>
    <x v="3"/>
    <n v="29.9"/>
    <n v="209.29999999999998"/>
    <x v="42"/>
    <d v="2025-02-13T00:00:00"/>
    <x v="2"/>
    <x v="0"/>
    <x v="0"/>
    <x v="0"/>
    <x v="6"/>
    <x v="3"/>
    <x v="6"/>
    <x v="2"/>
  </r>
  <r>
    <s v="TX501098"/>
    <x v="7"/>
    <x v="1"/>
    <n v="54.3"/>
    <n v="108.6"/>
    <x v="43"/>
    <d v="2025-02-14T00:00:00"/>
    <x v="1"/>
    <x v="3"/>
    <x v="0"/>
    <x v="0"/>
    <x v="36"/>
    <x v="3"/>
    <x v="6"/>
    <x v="1"/>
  </r>
  <r>
    <s v="TX501099"/>
    <x v="9"/>
    <x v="12"/>
    <n v="57"/>
    <n v="228"/>
    <x v="43"/>
    <d v="2025-02-15T00:00:00"/>
    <x v="2"/>
    <x v="0"/>
    <x v="0"/>
    <x v="0"/>
    <x v="8"/>
    <x v="1"/>
    <x v="6"/>
    <x v="2"/>
  </r>
  <r>
    <s v="TX501100"/>
    <x v="2"/>
    <x v="0"/>
    <n v="139.19999999999999"/>
    <n v="139.19999999999999"/>
    <x v="43"/>
    <d v="2025-02-14T00:00:00"/>
    <x v="2"/>
    <x v="3"/>
    <x v="2"/>
    <x v="0"/>
    <x v="8"/>
    <x v="3"/>
    <x v="6"/>
    <x v="2"/>
  </r>
  <r>
    <s v="TX501101"/>
    <x v="10"/>
    <x v="0"/>
    <n v="33"/>
    <n v="33"/>
    <x v="43"/>
    <d v="2025-02-16T00:00:00"/>
    <x v="2"/>
    <x v="0"/>
    <x v="2"/>
    <x v="0"/>
    <x v="8"/>
    <x v="2"/>
    <x v="6"/>
    <x v="2"/>
  </r>
  <r>
    <s v="TX501102"/>
    <x v="11"/>
    <x v="13"/>
    <n v="80.2"/>
    <n v="481.20000000000005"/>
    <x v="43"/>
    <d v="2025-02-15T00:00:00"/>
    <x v="1"/>
    <x v="1"/>
    <x v="4"/>
    <x v="0"/>
    <x v="8"/>
    <x v="1"/>
    <x v="6"/>
    <x v="1"/>
  </r>
  <r>
    <s v="TX501103"/>
    <x v="18"/>
    <x v="8"/>
    <n v="49"/>
    <n v="392"/>
    <x v="43"/>
    <d v="2025-02-14T00:00:00"/>
    <x v="0"/>
    <x v="2"/>
    <x v="1"/>
    <x v="0"/>
    <x v="9"/>
    <x v="3"/>
    <x v="6"/>
    <x v="0"/>
  </r>
  <r>
    <s v="TX501104"/>
    <x v="1"/>
    <x v="12"/>
    <n v="104.4"/>
    <n v="417.6"/>
    <x v="43"/>
    <d v="2025-02-13T00:00:00"/>
    <x v="2"/>
    <x v="0"/>
    <x v="0"/>
    <x v="0"/>
    <x v="9"/>
    <x v="7"/>
    <x v="6"/>
    <x v="2"/>
  </r>
  <r>
    <s v="TX501105"/>
    <x v="3"/>
    <x v="0"/>
    <n v="41.6"/>
    <n v="41.6"/>
    <x v="43"/>
    <d v="2025-02-16T00:00:00"/>
    <x v="1"/>
    <x v="3"/>
    <x v="0"/>
    <x v="0"/>
    <x v="11"/>
    <x v="2"/>
    <x v="6"/>
    <x v="1"/>
  </r>
  <r>
    <s v="TX501106"/>
    <x v="19"/>
    <x v="1"/>
    <n v="16.399999999999999"/>
    <n v="32.799999999999997"/>
    <x v="43"/>
    <d v="2025-02-14T00:00:00"/>
    <x v="3"/>
    <x v="0"/>
    <x v="2"/>
    <x v="0"/>
    <x v="11"/>
    <x v="3"/>
    <x v="6"/>
    <x v="3"/>
  </r>
  <r>
    <s v="TX501107"/>
    <x v="8"/>
    <x v="1"/>
    <n v="22"/>
    <n v="44"/>
    <x v="43"/>
    <d v="2025-02-14T00:00:00"/>
    <x v="1"/>
    <x v="2"/>
    <x v="2"/>
    <x v="0"/>
    <x v="53"/>
    <x v="3"/>
    <x v="6"/>
    <x v="1"/>
  </r>
  <r>
    <s v="TX501108"/>
    <x v="15"/>
    <x v="1"/>
    <n v="33.6"/>
    <n v="67.2"/>
    <x v="43"/>
    <d v="2025-02-18T00:00:00"/>
    <x v="2"/>
    <x v="0"/>
    <x v="0"/>
    <x v="0"/>
    <x v="21"/>
    <x v="0"/>
    <x v="6"/>
    <x v="2"/>
  </r>
  <r>
    <s v="TX501109"/>
    <x v="11"/>
    <x v="13"/>
    <n v="43"/>
    <n v="258"/>
    <x v="43"/>
    <d v="2025-02-14T00:00:00"/>
    <x v="2"/>
    <x v="2"/>
    <x v="0"/>
    <x v="0"/>
    <x v="21"/>
    <x v="3"/>
    <x v="6"/>
    <x v="2"/>
  </r>
  <r>
    <s v="TX501110"/>
    <x v="6"/>
    <x v="9"/>
    <n v="108.8"/>
    <n v="544"/>
    <x v="43"/>
    <d v="2025-02-16T00:00:00"/>
    <x v="2"/>
    <x v="4"/>
    <x v="2"/>
    <x v="0"/>
    <x v="21"/>
    <x v="2"/>
    <x v="6"/>
    <x v="2"/>
  </r>
  <r>
    <s v="TX501111"/>
    <x v="0"/>
    <x v="11"/>
    <n v="29.3"/>
    <n v="263.7"/>
    <x v="43"/>
    <d v="2025-02-15T00:00:00"/>
    <x v="1"/>
    <x v="4"/>
    <x v="2"/>
    <x v="0"/>
    <x v="21"/>
    <x v="1"/>
    <x v="6"/>
    <x v="1"/>
  </r>
  <r>
    <s v="TX501112"/>
    <x v="2"/>
    <x v="0"/>
    <n v="122.7"/>
    <n v="122.7"/>
    <x v="43"/>
    <d v="2025-02-16T00:00:00"/>
    <x v="3"/>
    <x v="0"/>
    <x v="2"/>
    <x v="0"/>
    <x v="1"/>
    <x v="2"/>
    <x v="6"/>
    <x v="3"/>
  </r>
  <r>
    <s v="TX501113"/>
    <x v="4"/>
    <x v="3"/>
    <n v="22.9"/>
    <n v="160.29999999999998"/>
    <x v="43"/>
    <d v="2025-02-14T00:00:00"/>
    <x v="2"/>
    <x v="0"/>
    <x v="0"/>
    <x v="0"/>
    <x v="42"/>
    <x v="3"/>
    <x v="6"/>
    <x v="2"/>
  </r>
  <r>
    <s v="TX501114"/>
    <x v="8"/>
    <x v="7"/>
    <n v="25.5"/>
    <n v="255"/>
    <x v="43"/>
    <d v="2025-02-20T00:00:00"/>
    <x v="2"/>
    <x v="0"/>
    <x v="0"/>
    <x v="0"/>
    <x v="33"/>
    <x v="6"/>
    <x v="6"/>
    <x v="2"/>
  </r>
  <r>
    <s v="TX501115"/>
    <x v="17"/>
    <x v="2"/>
    <n v="23.4"/>
    <n v="70.199999999999989"/>
    <x v="43"/>
    <d v="2025-02-17T00:00:00"/>
    <x v="2"/>
    <x v="0"/>
    <x v="2"/>
    <x v="0"/>
    <x v="3"/>
    <x v="5"/>
    <x v="6"/>
    <x v="2"/>
  </r>
  <r>
    <s v="TX501116"/>
    <x v="5"/>
    <x v="8"/>
    <n v="27.4"/>
    <n v="219.2"/>
    <x v="43"/>
    <d v="2025-02-16T00:00:00"/>
    <x v="2"/>
    <x v="2"/>
    <x v="0"/>
    <x v="0"/>
    <x v="3"/>
    <x v="2"/>
    <x v="6"/>
    <x v="2"/>
  </r>
  <r>
    <s v="TX501117"/>
    <x v="5"/>
    <x v="9"/>
    <n v="68.400000000000006"/>
    <n v="342"/>
    <x v="43"/>
    <d v="2025-02-14T00:00:00"/>
    <x v="2"/>
    <x v="0"/>
    <x v="0"/>
    <x v="0"/>
    <x v="3"/>
    <x v="3"/>
    <x v="6"/>
    <x v="2"/>
  </r>
  <r>
    <s v="TX501118"/>
    <x v="6"/>
    <x v="0"/>
    <n v="51.9"/>
    <n v="51.9"/>
    <x v="43"/>
    <d v="2025-02-13T00:00:00"/>
    <x v="2"/>
    <x v="0"/>
    <x v="0"/>
    <x v="0"/>
    <x v="3"/>
    <x v="7"/>
    <x v="6"/>
    <x v="2"/>
  </r>
  <r>
    <s v="TX501119"/>
    <x v="0"/>
    <x v="9"/>
    <n v="26.4"/>
    <n v="132"/>
    <x v="43"/>
    <d v="2025-02-16T00:00:00"/>
    <x v="2"/>
    <x v="0"/>
    <x v="2"/>
    <x v="0"/>
    <x v="3"/>
    <x v="2"/>
    <x v="6"/>
    <x v="2"/>
  </r>
  <r>
    <s v="TX501120"/>
    <x v="12"/>
    <x v="1"/>
    <n v="117"/>
    <n v="234"/>
    <x v="43"/>
    <d v="2025-02-14T00:00:00"/>
    <x v="2"/>
    <x v="1"/>
    <x v="1"/>
    <x v="0"/>
    <x v="3"/>
    <x v="3"/>
    <x v="6"/>
    <x v="2"/>
  </r>
  <r>
    <s v="TX501121"/>
    <x v="7"/>
    <x v="2"/>
    <n v="49.6"/>
    <n v="148.80000000000001"/>
    <x v="44"/>
    <d v="2025-02-16T00:00:00"/>
    <x v="2"/>
    <x v="0"/>
    <x v="0"/>
    <x v="0"/>
    <x v="3"/>
    <x v="1"/>
    <x v="6"/>
    <x v="2"/>
  </r>
  <r>
    <s v="TX501122"/>
    <x v="4"/>
    <x v="2"/>
    <n v="38"/>
    <n v="114"/>
    <x v="44"/>
    <d v="2025-02-17T00:00:00"/>
    <x v="1"/>
    <x v="2"/>
    <x v="4"/>
    <x v="0"/>
    <x v="3"/>
    <x v="2"/>
    <x v="6"/>
    <x v="1"/>
  </r>
  <r>
    <s v="TX501123"/>
    <x v="0"/>
    <x v="2"/>
    <n v="20.6"/>
    <n v="61.800000000000004"/>
    <x v="44"/>
    <d v="2025-02-16T00:00:00"/>
    <x v="2"/>
    <x v="4"/>
    <x v="2"/>
    <x v="0"/>
    <x v="3"/>
    <x v="1"/>
    <x v="6"/>
    <x v="2"/>
  </r>
  <r>
    <s v="TX501124"/>
    <x v="0"/>
    <x v="1"/>
    <n v="16"/>
    <n v="32"/>
    <x v="44"/>
    <d v="2025-02-15T00:00:00"/>
    <x v="1"/>
    <x v="1"/>
    <x v="1"/>
    <x v="0"/>
    <x v="49"/>
    <x v="3"/>
    <x v="6"/>
    <x v="1"/>
  </r>
  <r>
    <s v="TX501125"/>
    <x v="15"/>
    <x v="12"/>
    <n v="49.3"/>
    <n v="197.2"/>
    <x v="44"/>
    <d v="2025-02-15T00:00:00"/>
    <x v="2"/>
    <x v="2"/>
    <x v="0"/>
    <x v="0"/>
    <x v="23"/>
    <x v="3"/>
    <x v="6"/>
    <x v="2"/>
  </r>
  <r>
    <s v="TX501126"/>
    <x v="9"/>
    <x v="1"/>
    <n v="24.1"/>
    <n v="48.2"/>
    <x v="44"/>
    <d v="2025-02-18T00:00:00"/>
    <x v="2"/>
    <x v="0"/>
    <x v="0"/>
    <x v="0"/>
    <x v="6"/>
    <x v="5"/>
    <x v="6"/>
    <x v="2"/>
  </r>
  <r>
    <s v="TX501127"/>
    <x v="15"/>
    <x v="8"/>
    <n v="32.700000000000003"/>
    <n v="261.60000000000002"/>
    <x v="44"/>
    <d v="2025-02-15T00:00:00"/>
    <x v="2"/>
    <x v="1"/>
    <x v="0"/>
    <x v="0"/>
    <x v="6"/>
    <x v="3"/>
    <x v="6"/>
    <x v="2"/>
  </r>
  <r>
    <s v="TX501128"/>
    <x v="6"/>
    <x v="2"/>
    <n v="74.400000000000006"/>
    <n v="223.20000000000002"/>
    <x v="44"/>
    <d v="2025-02-15T00:00:00"/>
    <x v="2"/>
    <x v="3"/>
    <x v="2"/>
    <x v="0"/>
    <x v="8"/>
    <x v="3"/>
    <x v="6"/>
    <x v="2"/>
  </r>
  <r>
    <s v="TX501129"/>
    <x v="12"/>
    <x v="0"/>
    <n v="45.6"/>
    <n v="45.6"/>
    <x v="44"/>
    <d v="2025-02-18T00:00:00"/>
    <x v="2"/>
    <x v="4"/>
    <x v="0"/>
    <x v="0"/>
    <x v="8"/>
    <x v="5"/>
    <x v="6"/>
    <x v="2"/>
  </r>
  <r>
    <s v="TX501130"/>
    <x v="8"/>
    <x v="8"/>
    <n v="19.600000000000001"/>
    <n v="156.80000000000001"/>
    <x v="44"/>
    <d v="2025-02-27T00:00:00"/>
    <x v="2"/>
    <x v="0"/>
    <x v="0"/>
    <x v="0"/>
    <x v="8"/>
    <x v="10"/>
    <x v="6"/>
    <x v="2"/>
  </r>
  <r>
    <s v="TX501131"/>
    <x v="9"/>
    <x v="0"/>
    <n v="51.8"/>
    <n v="51.8"/>
    <x v="44"/>
    <d v="2025-02-15T00:00:00"/>
    <x v="2"/>
    <x v="1"/>
    <x v="0"/>
    <x v="0"/>
    <x v="8"/>
    <x v="3"/>
    <x v="6"/>
    <x v="2"/>
  </r>
  <r>
    <s v="TX501132"/>
    <x v="6"/>
    <x v="0"/>
    <n v="74.7"/>
    <n v="74.7"/>
    <x v="44"/>
    <d v="2025-02-15T00:00:00"/>
    <x v="1"/>
    <x v="0"/>
    <x v="1"/>
    <x v="0"/>
    <x v="8"/>
    <x v="3"/>
    <x v="6"/>
    <x v="1"/>
  </r>
  <r>
    <s v="TX501133"/>
    <x v="19"/>
    <x v="2"/>
    <n v="22.4"/>
    <n v="67.199999999999989"/>
    <x v="44"/>
    <d v="2025-02-15T00:00:00"/>
    <x v="2"/>
    <x v="1"/>
    <x v="2"/>
    <x v="0"/>
    <x v="9"/>
    <x v="3"/>
    <x v="6"/>
    <x v="2"/>
  </r>
  <r>
    <s v="TX501134"/>
    <x v="1"/>
    <x v="12"/>
    <n v="31.4"/>
    <n v="125.6"/>
    <x v="44"/>
    <d v="2025-02-15T00:00:00"/>
    <x v="2"/>
    <x v="1"/>
    <x v="0"/>
    <x v="0"/>
    <x v="9"/>
    <x v="3"/>
    <x v="6"/>
    <x v="2"/>
  </r>
  <r>
    <s v="TX501135"/>
    <x v="6"/>
    <x v="0"/>
    <n v="94"/>
    <n v="94"/>
    <x v="44"/>
    <d v="2025-02-14T00:00:00"/>
    <x v="2"/>
    <x v="1"/>
    <x v="2"/>
    <x v="0"/>
    <x v="10"/>
    <x v="7"/>
    <x v="6"/>
    <x v="2"/>
  </r>
  <r>
    <s v="TX501136"/>
    <x v="10"/>
    <x v="0"/>
    <n v="22.3"/>
    <n v="22.3"/>
    <x v="44"/>
    <d v="2025-02-15T00:00:00"/>
    <x v="1"/>
    <x v="4"/>
    <x v="0"/>
    <x v="0"/>
    <x v="20"/>
    <x v="3"/>
    <x v="6"/>
    <x v="1"/>
  </r>
  <r>
    <s v="TX501137"/>
    <x v="0"/>
    <x v="0"/>
    <n v="21.9"/>
    <n v="21.9"/>
    <x v="44"/>
    <d v="2025-02-17T00:00:00"/>
    <x v="2"/>
    <x v="2"/>
    <x v="0"/>
    <x v="0"/>
    <x v="21"/>
    <x v="2"/>
    <x v="6"/>
    <x v="2"/>
  </r>
  <r>
    <s v="TX501138"/>
    <x v="17"/>
    <x v="2"/>
    <n v="27"/>
    <n v="81"/>
    <x v="44"/>
    <d v="2025-02-16T00:00:00"/>
    <x v="2"/>
    <x v="4"/>
    <x v="2"/>
    <x v="0"/>
    <x v="2"/>
    <x v="1"/>
    <x v="6"/>
    <x v="2"/>
  </r>
  <r>
    <s v="TX501139"/>
    <x v="2"/>
    <x v="12"/>
    <n v="149.6"/>
    <n v="598.4"/>
    <x v="44"/>
    <d v="2025-02-14T00:00:00"/>
    <x v="2"/>
    <x v="4"/>
    <x v="0"/>
    <x v="0"/>
    <x v="22"/>
    <x v="7"/>
    <x v="6"/>
    <x v="2"/>
  </r>
  <r>
    <s v="TX501140"/>
    <x v="2"/>
    <x v="12"/>
    <n v="129.1"/>
    <n v="516.4"/>
    <x v="44"/>
    <d v="2025-02-24T00:00:00"/>
    <x v="1"/>
    <x v="0"/>
    <x v="1"/>
    <x v="0"/>
    <x v="3"/>
    <x v="14"/>
    <x v="6"/>
    <x v="1"/>
  </r>
  <r>
    <s v="TX501141"/>
    <x v="1"/>
    <x v="4"/>
    <n v="40.4"/>
    <n v="484.79999999999995"/>
    <x v="44"/>
    <d v="2025-02-15T00:00:00"/>
    <x v="1"/>
    <x v="1"/>
    <x v="1"/>
    <x v="0"/>
    <x v="3"/>
    <x v="3"/>
    <x v="6"/>
    <x v="1"/>
  </r>
  <r>
    <s v="TX501142"/>
    <x v="4"/>
    <x v="2"/>
    <n v="48.5"/>
    <n v="145.5"/>
    <x v="44"/>
    <d v="2025-02-16T00:00:00"/>
    <x v="2"/>
    <x v="0"/>
    <x v="4"/>
    <x v="0"/>
    <x v="3"/>
    <x v="1"/>
    <x v="6"/>
    <x v="2"/>
  </r>
  <r>
    <s v="TX501143"/>
    <x v="9"/>
    <x v="1"/>
    <n v="37.6"/>
    <n v="75.2"/>
    <x v="44"/>
    <d v="2025-02-16T00:00:00"/>
    <x v="2"/>
    <x v="1"/>
    <x v="2"/>
    <x v="0"/>
    <x v="3"/>
    <x v="1"/>
    <x v="6"/>
    <x v="2"/>
  </r>
  <r>
    <s v="TX501144"/>
    <x v="8"/>
    <x v="1"/>
    <n v="19.600000000000001"/>
    <n v="39.200000000000003"/>
    <x v="44"/>
    <d v="2025-02-15T00:00:00"/>
    <x v="1"/>
    <x v="3"/>
    <x v="4"/>
    <x v="0"/>
    <x v="43"/>
    <x v="3"/>
    <x v="6"/>
    <x v="1"/>
  </r>
  <r>
    <s v="TX501145"/>
    <x v="8"/>
    <x v="9"/>
    <n v="18.5"/>
    <n v="92.5"/>
    <x v="44"/>
    <d v="2025-02-15T00:00:00"/>
    <x v="2"/>
    <x v="2"/>
    <x v="1"/>
    <x v="0"/>
    <x v="6"/>
    <x v="3"/>
    <x v="6"/>
    <x v="2"/>
  </r>
  <r>
    <s v="TX501146"/>
    <x v="5"/>
    <x v="2"/>
    <n v="25.5"/>
    <n v="76.5"/>
    <x v="44"/>
    <d v="2025-02-16T00:00:00"/>
    <x v="2"/>
    <x v="4"/>
    <x v="1"/>
    <x v="0"/>
    <x v="6"/>
    <x v="1"/>
    <x v="6"/>
    <x v="2"/>
  </r>
  <r>
    <s v="TX501147"/>
    <x v="2"/>
    <x v="1"/>
    <n v="94.7"/>
    <n v="189.4"/>
    <x v="44"/>
    <d v="2025-02-15T00:00:00"/>
    <x v="2"/>
    <x v="2"/>
    <x v="0"/>
    <x v="0"/>
    <x v="36"/>
    <x v="3"/>
    <x v="6"/>
    <x v="2"/>
  </r>
  <r>
    <s v="TX501148"/>
    <x v="1"/>
    <x v="13"/>
    <n v="38.799999999999997"/>
    <n v="232.79999999999998"/>
    <x v="44"/>
    <d v="2025-02-19T00:00:00"/>
    <x v="2"/>
    <x v="2"/>
    <x v="2"/>
    <x v="0"/>
    <x v="8"/>
    <x v="0"/>
    <x v="6"/>
    <x v="2"/>
  </r>
  <r>
    <s v="TX501149"/>
    <x v="9"/>
    <x v="1"/>
    <n v="49.4"/>
    <n v="98.8"/>
    <x v="45"/>
    <d v="2025-02-23T00:00:00"/>
    <x v="1"/>
    <x v="4"/>
    <x v="1"/>
    <x v="0"/>
    <x v="8"/>
    <x v="9"/>
    <x v="6"/>
    <x v="1"/>
  </r>
  <r>
    <s v="TX501150"/>
    <x v="7"/>
    <x v="2"/>
    <n v="68"/>
    <n v="204"/>
    <x v="45"/>
    <d v="2025-02-18T00:00:00"/>
    <x v="1"/>
    <x v="0"/>
    <x v="2"/>
    <x v="0"/>
    <x v="8"/>
    <x v="2"/>
    <x v="6"/>
    <x v="1"/>
  </r>
  <r>
    <s v="TX501151"/>
    <x v="15"/>
    <x v="3"/>
    <n v="63.7"/>
    <n v="445.90000000000003"/>
    <x v="45"/>
    <d v="2025-02-16T00:00:00"/>
    <x v="2"/>
    <x v="2"/>
    <x v="2"/>
    <x v="0"/>
    <x v="8"/>
    <x v="3"/>
    <x v="6"/>
    <x v="2"/>
  </r>
  <r>
    <s v="TX501152"/>
    <x v="10"/>
    <x v="1"/>
    <n v="66.2"/>
    <n v="132.4"/>
    <x v="45"/>
    <d v="2025-02-16T00:00:00"/>
    <x v="2"/>
    <x v="4"/>
    <x v="2"/>
    <x v="0"/>
    <x v="17"/>
    <x v="3"/>
    <x v="6"/>
    <x v="2"/>
  </r>
  <r>
    <s v="TX501153"/>
    <x v="12"/>
    <x v="2"/>
    <n v="32.299999999999997"/>
    <n v="96.899999999999991"/>
    <x v="45"/>
    <d v="2025-02-16T00:00:00"/>
    <x v="3"/>
    <x v="2"/>
    <x v="1"/>
    <x v="0"/>
    <x v="9"/>
    <x v="3"/>
    <x v="6"/>
    <x v="3"/>
  </r>
  <r>
    <s v="TX501154"/>
    <x v="4"/>
    <x v="1"/>
    <n v="66.900000000000006"/>
    <n v="133.80000000000001"/>
    <x v="45"/>
    <d v="2025-02-18T00:00:00"/>
    <x v="1"/>
    <x v="1"/>
    <x v="0"/>
    <x v="0"/>
    <x v="11"/>
    <x v="2"/>
    <x v="6"/>
    <x v="1"/>
  </r>
  <r>
    <s v="TX501155"/>
    <x v="4"/>
    <x v="4"/>
    <n v="25.2"/>
    <n v="302.39999999999998"/>
    <x v="45"/>
    <d v="2025-02-19T00:00:00"/>
    <x v="2"/>
    <x v="0"/>
    <x v="1"/>
    <x v="0"/>
    <x v="11"/>
    <x v="5"/>
    <x v="6"/>
    <x v="2"/>
  </r>
  <r>
    <s v="TX501156"/>
    <x v="10"/>
    <x v="13"/>
    <n v="29.5"/>
    <n v="177"/>
    <x v="45"/>
    <d v="2025-02-16T00:00:00"/>
    <x v="1"/>
    <x v="2"/>
    <x v="0"/>
    <x v="0"/>
    <x v="11"/>
    <x v="3"/>
    <x v="6"/>
    <x v="1"/>
  </r>
  <r>
    <s v="TX501157"/>
    <x v="8"/>
    <x v="9"/>
    <n v="21.6"/>
    <n v="108"/>
    <x v="45"/>
    <d v="2025-02-17T00:00:00"/>
    <x v="2"/>
    <x v="0"/>
    <x v="2"/>
    <x v="0"/>
    <x v="32"/>
    <x v="1"/>
    <x v="6"/>
    <x v="2"/>
  </r>
  <r>
    <s v="TX501158"/>
    <x v="12"/>
    <x v="2"/>
    <n v="69"/>
    <n v="207"/>
    <x v="45"/>
    <d v="2025-02-16T00:00:00"/>
    <x v="2"/>
    <x v="0"/>
    <x v="0"/>
    <x v="0"/>
    <x v="18"/>
    <x v="3"/>
    <x v="6"/>
    <x v="2"/>
  </r>
  <r>
    <s v="TX501159"/>
    <x v="7"/>
    <x v="1"/>
    <n v="115"/>
    <n v="230"/>
    <x v="45"/>
    <d v="2025-02-19T00:00:00"/>
    <x v="1"/>
    <x v="0"/>
    <x v="2"/>
    <x v="0"/>
    <x v="18"/>
    <x v="5"/>
    <x v="6"/>
    <x v="1"/>
  </r>
  <r>
    <s v="TX501160"/>
    <x v="2"/>
    <x v="1"/>
    <n v="109.3"/>
    <n v="218.6"/>
    <x v="45"/>
    <d v="2025-02-17T00:00:00"/>
    <x v="0"/>
    <x v="3"/>
    <x v="1"/>
    <x v="0"/>
    <x v="19"/>
    <x v="1"/>
    <x v="6"/>
    <x v="0"/>
  </r>
  <r>
    <s v="TX501161"/>
    <x v="9"/>
    <x v="1"/>
    <n v="66.599999999999994"/>
    <n v="133.19999999999999"/>
    <x v="45"/>
    <d v="2025-02-18T00:00:00"/>
    <x v="0"/>
    <x v="4"/>
    <x v="1"/>
    <x v="0"/>
    <x v="19"/>
    <x v="2"/>
    <x v="6"/>
    <x v="0"/>
  </r>
  <r>
    <s v="TX501162"/>
    <x v="12"/>
    <x v="9"/>
    <n v="47.7"/>
    <n v="238.5"/>
    <x v="45"/>
    <d v="2025-02-16T00:00:00"/>
    <x v="1"/>
    <x v="3"/>
    <x v="2"/>
    <x v="0"/>
    <x v="21"/>
    <x v="3"/>
    <x v="6"/>
    <x v="1"/>
  </r>
  <r>
    <s v="TX501163"/>
    <x v="8"/>
    <x v="1"/>
    <n v="46"/>
    <n v="92"/>
    <x v="45"/>
    <d v="2025-02-16T00:00:00"/>
    <x v="2"/>
    <x v="4"/>
    <x v="4"/>
    <x v="0"/>
    <x v="22"/>
    <x v="3"/>
    <x v="6"/>
    <x v="2"/>
  </r>
  <r>
    <s v="TX501164"/>
    <x v="1"/>
    <x v="13"/>
    <n v="39.299999999999997"/>
    <n v="235.79999999999998"/>
    <x v="45"/>
    <d v="2025-02-17T00:00:00"/>
    <x v="1"/>
    <x v="3"/>
    <x v="2"/>
    <x v="0"/>
    <x v="3"/>
    <x v="1"/>
    <x v="6"/>
    <x v="1"/>
  </r>
  <r>
    <s v="TX501165"/>
    <x v="9"/>
    <x v="0"/>
    <n v="70.2"/>
    <n v="70.2"/>
    <x v="45"/>
    <d v="2025-02-16T00:00:00"/>
    <x v="2"/>
    <x v="0"/>
    <x v="4"/>
    <x v="0"/>
    <x v="3"/>
    <x v="3"/>
    <x v="6"/>
    <x v="2"/>
  </r>
  <r>
    <s v="TX501166"/>
    <x v="3"/>
    <x v="12"/>
    <n v="71.5"/>
    <n v="286"/>
    <x v="45"/>
    <d v="2025-02-15T00:00:00"/>
    <x v="2"/>
    <x v="1"/>
    <x v="2"/>
    <x v="0"/>
    <x v="3"/>
    <x v="7"/>
    <x v="6"/>
    <x v="2"/>
  </r>
  <r>
    <s v="TX501167"/>
    <x v="10"/>
    <x v="3"/>
    <n v="31"/>
    <n v="217"/>
    <x v="45"/>
    <d v="2025-02-22T00:00:00"/>
    <x v="2"/>
    <x v="3"/>
    <x v="2"/>
    <x v="0"/>
    <x v="3"/>
    <x v="6"/>
    <x v="6"/>
    <x v="2"/>
  </r>
  <r>
    <s v="TX501168"/>
    <x v="2"/>
    <x v="9"/>
    <n v="68.2"/>
    <n v="341"/>
    <x v="45"/>
    <d v="2025-02-20T00:00:00"/>
    <x v="2"/>
    <x v="0"/>
    <x v="2"/>
    <x v="0"/>
    <x v="3"/>
    <x v="0"/>
    <x v="6"/>
    <x v="2"/>
  </r>
  <r>
    <s v="TX501169"/>
    <x v="2"/>
    <x v="0"/>
    <n v="91.4"/>
    <n v="91.4"/>
    <x v="45"/>
    <d v="2025-02-19T00:00:00"/>
    <x v="2"/>
    <x v="1"/>
    <x v="2"/>
    <x v="0"/>
    <x v="6"/>
    <x v="5"/>
    <x v="6"/>
    <x v="2"/>
  </r>
  <r>
    <s v="TX501170"/>
    <x v="6"/>
    <x v="7"/>
    <n v="112.9"/>
    <n v="1129"/>
    <x v="45"/>
    <d v="2025-02-16T00:00:00"/>
    <x v="2"/>
    <x v="0"/>
    <x v="0"/>
    <x v="0"/>
    <x v="6"/>
    <x v="3"/>
    <x v="6"/>
    <x v="2"/>
  </r>
  <r>
    <s v="TX501171"/>
    <x v="17"/>
    <x v="11"/>
    <n v="33.700000000000003"/>
    <n v="303.3"/>
    <x v="45"/>
    <d v="2025-02-16T00:00:00"/>
    <x v="2"/>
    <x v="1"/>
    <x v="2"/>
    <x v="0"/>
    <x v="8"/>
    <x v="3"/>
    <x v="6"/>
    <x v="2"/>
  </r>
  <r>
    <s v="TX501172"/>
    <x v="15"/>
    <x v="7"/>
    <n v="35.299999999999997"/>
    <n v="353"/>
    <x v="45"/>
    <d v="2025-02-17T00:00:00"/>
    <x v="1"/>
    <x v="2"/>
    <x v="0"/>
    <x v="0"/>
    <x v="8"/>
    <x v="1"/>
    <x v="6"/>
    <x v="1"/>
  </r>
  <r>
    <s v="TX501173"/>
    <x v="18"/>
    <x v="2"/>
    <n v="45.6"/>
    <n v="136.80000000000001"/>
    <x v="45"/>
    <d v="2025-02-19T00:00:00"/>
    <x v="1"/>
    <x v="3"/>
    <x v="0"/>
    <x v="0"/>
    <x v="8"/>
    <x v="5"/>
    <x v="6"/>
    <x v="1"/>
  </r>
  <r>
    <s v="TX501174"/>
    <x v="7"/>
    <x v="3"/>
    <n v="47.1"/>
    <n v="329.7"/>
    <x v="45"/>
    <d v="2025-02-16T00:00:00"/>
    <x v="2"/>
    <x v="4"/>
    <x v="2"/>
    <x v="0"/>
    <x v="9"/>
    <x v="3"/>
    <x v="6"/>
    <x v="2"/>
  </r>
  <r>
    <s v="TX501175"/>
    <x v="8"/>
    <x v="9"/>
    <n v="16.2"/>
    <n v="81"/>
    <x v="45"/>
    <d v="2025-02-17T00:00:00"/>
    <x v="2"/>
    <x v="3"/>
    <x v="2"/>
    <x v="0"/>
    <x v="19"/>
    <x v="1"/>
    <x v="6"/>
    <x v="2"/>
  </r>
  <r>
    <s v="TX501176"/>
    <x v="1"/>
    <x v="1"/>
    <n v="159.69999999999999"/>
    <n v="319.39999999999998"/>
    <x v="46"/>
    <d v="2025-02-17T00:00:00"/>
    <x v="1"/>
    <x v="4"/>
    <x v="0"/>
    <x v="0"/>
    <x v="13"/>
    <x v="3"/>
    <x v="7"/>
    <x v="1"/>
  </r>
  <r>
    <s v="TX501177"/>
    <x v="8"/>
    <x v="12"/>
    <n v="19"/>
    <n v="76"/>
    <x v="46"/>
    <d v="2025-02-23T00:00:00"/>
    <x v="2"/>
    <x v="2"/>
    <x v="2"/>
    <x v="0"/>
    <x v="21"/>
    <x v="6"/>
    <x v="7"/>
    <x v="2"/>
  </r>
  <r>
    <s v="TX501178"/>
    <x v="6"/>
    <x v="13"/>
    <n v="91.1"/>
    <n v="546.59999999999991"/>
    <x v="46"/>
    <d v="2025-02-25T00:00:00"/>
    <x v="2"/>
    <x v="4"/>
    <x v="0"/>
    <x v="0"/>
    <x v="21"/>
    <x v="8"/>
    <x v="7"/>
    <x v="2"/>
  </r>
  <r>
    <s v="TX501179"/>
    <x v="2"/>
    <x v="9"/>
    <n v="94.1"/>
    <n v="470.5"/>
    <x v="46"/>
    <d v="2025-02-19T00:00:00"/>
    <x v="0"/>
    <x v="1"/>
    <x v="1"/>
    <x v="0"/>
    <x v="21"/>
    <x v="2"/>
    <x v="7"/>
    <x v="0"/>
  </r>
  <r>
    <s v="TX501180"/>
    <x v="9"/>
    <x v="11"/>
    <n v="21.1"/>
    <n v="189.9"/>
    <x v="46"/>
    <d v="2025-02-17T00:00:00"/>
    <x v="2"/>
    <x v="4"/>
    <x v="2"/>
    <x v="0"/>
    <x v="51"/>
    <x v="3"/>
    <x v="7"/>
    <x v="2"/>
  </r>
  <r>
    <s v="TX501181"/>
    <x v="8"/>
    <x v="3"/>
    <n v="15.3"/>
    <n v="107.10000000000001"/>
    <x v="46"/>
    <d v="2025-02-24T00:00:00"/>
    <x v="2"/>
    <x v="2"/>
    <x v="0"/>
    <x v="0"/>
    <x v="1"/>
    <x v="9"/>
    <x v="7"/>
    <x v="2"/>
  </r>
  <r>
    <s v="TX501182"/>
    <x v="15"/>
    <x v="12"/>
    <n v="21.3"/>
    <n v="85.2"/>
    <x v="46"/>
    <d v="2025-02-19T00:00:00"/>
    <x v="1"/>
    <x v="1"/>
    <x v="0"/>
    <x v="0"/>
    <x v="3"/>
    <x v="2"/>
    <x v="7"/>
    <x v="1"/>
  </r>
  <r>
    <s v="TX501183"/>
    <x v="0"/>
    <x v="1"/>
    <n v="23.2"/>
    <n v="46.4"/>
    <x v="46"/>
    <d v="2025-02-16T00:00:00"/>
    <x v="0"/>
    <x v="3"/>
    <x v="1"/>
    <x v="0"/>
    <x v="3"/>
    <x v="7"/>
    <x v="7"/>
    <x v="0"/>
  </r>
  <r>
    <s v="TX501184"/>
    <x v="4"/>
    <x v="2"/>
    <n v="25.7"/>
    <n v="77.099999999999994"/>
    <x v="46"/>
    <d v="2025-02-17T00:00:00"/>
    <x v="1"/>
    <x v="4"/>
    <x v="0"/>
    <x v="0"/>
    <x v="3"/>
    <x v="3"/>
    <x v="7"/>
    <x v="1"/>
  </r>
  <r>
    <s v="TX501185"/>
    <x v="0"/>
    <x v="11"/>
    <n v="31.6"/>
    <n v="284.40000000000003"/>
    <x v="46"/>
    <d v="2025-02-18T00:00:00"/>
    <x v="2"/>
    <x v="0"/>
    <x v="0"/>
    <x v="0"/>
    <x v="3"/>
    <x v="1"/>
    <x v="7"/>
    <x v="2"/>
  </r>
  <r>
    <s v="TX501186"/>
    <x v="6"/>
    <x v="0"/>
    <n v="64.2"/>
    <n v="64.2"/>
    <x v="46"/>
    <d v="2025-02-21T00:00:00"/>
    <x v="1"/>
    <x v="0"/>
    <x v="0"/>
    <x v="0"/>
    <x v="3"/>
    <x v="0"/>
    <x v="7"/>
    <x v="1"/>
  </r>
  <r>
    <s v="TX501187"/>
    <x v="8"/>
    <x v="1"/>
    <n v="55.8"/>
    <n v="111.6"/>
    <x v="46"/>
    <d v="2025-02-18T00:00:00"/>
    <x v="0"/>
    <x v="0"/>
    <x v="0"/>
    <x v="0"/>
    <x v="3"/>
    <x v="1"/>
    <x v="7"/>
    <x v="0"/>
  </r>
  <r>
    <s v="TX501188"/>
    <x v="8"/>
    <x v="1"/>
    <n v="28.1"/>
    <n v="56.2"/>
    <x v="46"/>
    <d v="2025-02-17T00:00:00"/>
    <x v="2"/>
    <x v="4"/>
    <x v="1"/>
    <x v="0"/>
    <x v="3"/>
    <x v="3"/>
    <x v="7"/>
    <x v="2"/>
  </r>
  <r>
    <s v="TX501189"/>
    <x v="0"/>
    <x v="1"/>
    <n v="11.6"/>
    <n v="23.2"/>
    <x v="46"/>
    <d v="2025-02-18T00:00:00"/>
    <x v="2"/>
    <x v="1"/>
    <x v="0"/>
    <x v="0"/>
    <x v="24"/>
    <x v="1"/>
    <x v="7"/>
    <x v="2"/>
  </r>
  <r>
    <s v="TX501190"/>
    <x v="5"/>
    <x v="2"/>
    <n v="50.4"/>
    <n v="151.19999999999999"/>
    <x v="46"/>
    <d v="2025-02-17T00:00:00"/>
    <x v="1"/>
    <x v="4"/>
    <x v="2"/>
    <x v="0"/>
    <x v="25"/>
    <x v="3"/>
    <x v="7"/>
    <x v="1"/>
  </r>
  <r>
    <s v="TX501191"/>
    <x v="6"/>
    <x v="13"/>
    <n v="48.3"/>
    <n v="289.79999999999995"/>
    <x v="46"/>
    <d v="2025-02-20T00:00:00"/>
    <x v="2"/>
    <x v="0"/>
    <x v="0"/>
    <x v="0"/>
    <x v="25"/>
    <x v="5"/>
    <x v="7"/>
    <x v="2"/>
  </r>
  <r>
    <s v="TX501192"/>
    <x v="17"/>
    <x v="3"/>
    <n v="32.200000000000003"/>
    <n v="225.40000000000003"/>
    <x v="46"/>
    <d v="2025-02-18T00:00:00"/>
    <x v="2"/>
    <x v="2"/>
    <x v="0"/>
    <x v="0"/>
    <x v="25"/>
    <x v="1"/>
    <x v="7"/>
    <x v="2"/>
  </r>
  <r>
    <s v="TX501193"/>
    <x v="7"/>
    <x v="31"/>
    <n v="48.5"/>
    <n v="1358"/>
    <x v="46"/>
    <d v="2025-02-17T00:00:00"/>
    <x v="1"/>
    <x v="0"/>
    <x v="0"/>
    <x v="0"/>
    <x v="5"/>
    <x v="3"/>
    <x v="7"/>
    <x v="1"/>
  </r>
  <r>
    <s v="TX501194"/>
    <x v="2"/>
    <x v="9"/>
    <n v="62"/>
    <n v="310"/>
    <x v="46"/>
    <d v="2025-02-19T00:00:00"/>
    <x v="2"/>
    <x v="1"/>
    <x v="0"/>
    <x v="0"/>
    <x v="6"/>
    <x v="2"/>
    <x v="7"/>
    <x v="2"/>
  </r>
  <r>
    <s v="TX501195"/>
    <x v="8"/>
    <x v="2"/>
    <n v="32.1"/>
    <n v="96.300000000000011"/>
    <x v="47"/>
    <d v="2025-02-19T00:00:00"/>
    <x v="1"/>
    <x v="0"/>
    <x v="0"/>
    <x v="0"/>
    <x v="6"/>
    <x v="1"/>
    <x v="7"/>
    <x v="1"/>
  </r>
  <r>
    <s v="TX501196"/>
    <x v="12"/>
    <x v="2"/>
    <n v="106.1"/>
    <n v="318.29999999999995"/>
    <x v="47"/>
    <d v="2025-02-19T00:00:00"/>
    <x v="1"/>
    <x v="0"/>
    <x v="1"/>
    <x v="0"/>
    <x v="7"/>
    <x v="1"/>
    <x v="7"/>
    <x v="1"/>
  </r>
  <r>
    <s v="TX501197"/>
    <x v="10"/>
    <x v="2"/>
    <n v="23.5"/>
    <n v="70.5"/>
    <x v="47"/>
    <d v="2025-02-20T00:00:00"/>
    <x v="1"/>
    <x v="0"/>
    <x v="4"/>
    <x v="0"/>
    <x v="7"/>
    <x v="2"/>
    <x v="7"/>
    <x v="1"/>
  </r>
  <r>
    <s v="TX501198"/>
    <x v="1"/>
    <x v="1"/>
    <n v="35.6"/>
    <n v="71.2"/>
    <x v="47"/>
    <d v="2025-02-22T00:00:00"/>
    <x v="1"/>
    <x v="4"/>
    <x v="0"/>
    <x v="0"/>
    <x v="8"/>
    <x v="0"/>
    <x v="7"/>
    <x v="1"/>
  </r>
  <r>
    <s v="TX501199"/>
    <x v="1"/>
    <x v="1"/>
    <n v="63.5"/>
    <n v="127"/>
    <x v="47"/>
    <d v="2025-02-17T00:00:00"/>
    <x v="2"/>
    <x v="1"/>
    <x v="2"/>
    <x v="0"/>
    <x v="8"/>
    <x v="7"/>
    <x v="7"/>
    <x v="2"/>
  </r>
  <r>
    <s v="TX501200"/>
    <x v="6"/>
    <x v="3"/>
    <n v="82.9"/>
    <n v="580.30000000000007"/>
    <x v="47"/>
    <d v="2025-02-22T00:00:00"/>
    <x v="2"/>
    <x v="4"/>
    <x v="0"/>
    <x v="0"/>
    <x v="9"/>
    <x v="0"/>
    <x v="7"/>
    <x v="2"/>
  </r>
  <r>
    <s v="TX501201"/>
    <x v="6"/>
    <x v="1"/>
    <n v="83.6"/>
    <n v="167.2"/>
    <x v="47"/>
    <d v="2025-02-22T00:00:00"/>
    <x v="2"/>
    <x v="0"/>
    <x v="0"/>
    <x v="0"/>
    <x v="11"/>
    <x v="0"/>
    <x v="7"/>
    <x v="2"/>
  </r>
  <r>
    <s v="TX501202"/>
    <x v="4"/>
    <x v="1"/>
    <n v="29.4"/>
    <n v="58.8"/>
    <x v="47"/>
    <d v="2025-02-17T00:00:00"/>
    <x v="2"/>
    <x v="0"/>
    <x v="1"/>
    <x v="0"/>
    <x v="30"/>
    <x v="7"/>
    <x v="7"/>
    <x v="2"/>
  </r>
  <r>
    <s v="TX501203"/>
    <x v="2"/>
    <x v="2"/>
    <n v="107.1"/>
    <n v="321.29999999999995"/>
    <x v="47"/>
    <d v="2025-02-21T00:00:00"/>
    <x v="2"/>
    <x v="2"/>
    <x v="0"/>
    <x v="0"/>
    <x v="20"/>
    <x v="5"/>
    <x v="7"/>
    <x v="2"/>
  </r>
  <r>
    <s v="TX501204"/>
    <x v="2"/>
    <x v="0"/>
    <n v="62.7"/>
    <n v="62.7"/>
    <x v="47"/>
    <d v="2025-02-21T00:00:00"/>
    <x v="1"/>
    <x v="1"/>
    <x v="0"/>
    <x v="0"/>
    <x v="21"/>
    <x v="5"/>
    <x v="7"/>
    <x v="1"/>
  </r>
  <r>
    <s v="TX501205"/>
    <x v="11"/>
    <x v="0"/>
    <n v="41.6"/>
    <n v="41.6"/>
    <x v="47"/>
    <d v="2025-02-18T00:00:00"/>
    <x v="1"/>
    <x v="0"/>
    <x v="1"/>
    <x v="0"/>
    <x v="1"/>
    <x v="3"/>
    <x v="7"/>
    <x v="1"/>
  </r>
  <r>
    <s v="TX501206"/>
    <x v="6"/>
    <x v="0"/>
    <n v="44.2"/>
    <n v="44.2"/>
    <x v="47"/>
    <d v="2025-02-18T00:00:00"/>
    <x v="3"/>
    <x v="0"/>
    <x v="1"/>
    <x v="0"/>
    <x v="1"/>
    <x v="3"/>
    <x v="7"/>
    <x v="3"/>
  </r>
  <r>
    <s v="TX501207"/>
    <x v="4"/>
    <x v="13"/>
    <n v="40.4"/>
    <n v="242.39999999999998"/>
    <x v="47"/>
    <d v="2025-03-02T00:00:00"/>
    <x v="2"/>
    <x v="2"/>
    <x v="0"/>
    <x v="0"/>
    <x v="22"/>
    <x v="10"/>
    <x v="7"/>
    <x v="2"/>
  </r>
  <r>
    <s v="TX501208"/>
    <x v="15"/>
    <x v="13"/>
    <n v="59.6"/>
    <n v="357.6"/>
    <x v="47"/>
    <d v="2025-02-18T00:00:00"/>
    <x v="2"/>
    <x v="4"/>
    <x v="0"/>
    <x v="0"/>
    <x v="34"/>
    <x v="3"/>
    <x v="7"/>
    <x v="2"/>
  </r>
  <r>
    <s v="TX501209"/>
    <x v="17"/>
    <x v="4"/>
    <n v="63.8"/>
    <n v="765.59999999999991"/>
    <x v="47"/>
    <d v="2025-02-18T00:00:00"/>
    <x v="1"/>
    <x v="1"/>
    <x v="0"/>
    <x v="0"/>
    <x v="3"/>
    <x v="3"/>
    <x v="7"/>
    <x v="1"/>
  </r>
  <r>
    <s v="TX501210"/>
    <x v="9"/>
    <x v="13"/>
    <n v="30.8"/>
    <n v="184.8"/>
    <x v="47"/>
    <d v="2025-02-19T00:00:00"/>
    <x v="1"/>
    <x v="4"/>
    <x v="0"/>
    <x v="0"/>
    <x v="3"/>
    <x v="1"/>
    <x v="7"/>
    <x v="1"/>
  </r>
  <r>
    <s v="TX501211"/>
    <x v="1"/>
    <x v="1"/>
    <n v="41.5"/>
    <n v="83"/>
    <x v="47"/>
    <d v="2025-02-20T00:00:00"/>
    <x v="3"/>
    <x v="0"/>
    <x v="0"/>
    <x v="0"/>
    <x v="3"/>
    <x v="2"/>
    <x v="7"/>
    <x v="3"/>
  </r>
  <r>
    <s v="TX501212"/>
    <x v="10"/>
    <x v="12"/>
    <n v="44.7"/>
    <n v="178.8"/>
    <x v="47"/>
    <d v="2025-02-19T00:00:00"/>
    <x v="2"/>
    <x v="2"/>
    <x v="1"/>
    <x v="0"/>
    <x v="3"/>
    <x v="1"/>
    <x v="7"/>
    <x v="2"/>
  </r>
  <r>
    <s v="TX501213"/>
    <x v="12"/>
    <x v="1"/>
    <n v="64.099999999999994"/>
    <n v="128.19999999999999"/>
    <x v="47"/>
    <d v="2025-02-21T00:00:00"/>
    <x v="2"/>
    <x v="1"/>
    <x v="4"/>
    <x v="0"/>
    <x v="3"/>
    <x v="5"/>
    <x v="7"/>
    <x v="2"/>
  </r>
  <r>
    <s v="TX501214"/>
    <x v="8"/>
    <x v="0"/>
    <n v="15.9"/>
    <n v="15.9"/>
    <x v="47"/>
    <d v="2025-02-20T00:00:00"/>
    <x v="0"/>
    <x v="1"/>
    <x v="0"/>
    <x v="0"/>
    <x v="3"/>
    <x v="2"/>
    <x v="7"/>
    <x v="0"/>
  </r>
  <r>
    <s v="TX501215"/>
    <x v="6"/>
    <x v="1"/>
    <n v="78.7"/>
    <n v="157.4"/>
    <x v="47"/>
    <d v="2025-02-17T00:00:00"/>
    <x v="2"/>
    <x v="2"/>
    <x v="1"/>
    <x v="0"/>
    <x v="3"/>
    <x v="7"/>
    <x v="7"/>
    <x v="2"/>
  </r>
  <r>
    <s v="TX501216"/>
    <x v="5"/>
    <x v="4"/>
    <n v="29.6"/>
    <n v="355.20000000000005"/>
    <x v="47"/>
    <d v="2025-02-21T00:00:00"/>
    <x v="1"/>
    <x v="2"/>
    <x v="4"/>
    <x v="0"/>
    <x v="3"/>
    <x v="5"/>
    <x v="7"/>
    <x v="1"/>
  </r>
  <r>
    <s v="TX501217"/>
    <x v="8"/>
    <x v="12"/>
    <n v="21.5"/>
    <n v="86"/>
    <x v="47"/>
    <d v="2025-02-20T00:00:00"/>
    <x v="1"/>
    <x v="1"/>
    <x v="0"/>
    <x v="0"/>
    <x v="3"/>
    <x v="2"/>
    <x v="7"/>
    <x v="1"/>
  </r>
  <r>
    <s v="TX501218"/>
    <x v="9"/>
    <x v="2"/>
    <n v="74.900000000000006"/>
    <n v="224.70000000000002"/>
    <x v="47"/>
    <d v="2025-02-26T00:00:00"/>
    <x v="1"/>
    <x v="3"/>
    <x v="1"/>
    <x v="0"/>
    <x v="3"/>
    <x v="8"/>
    <x v="7"/>
    <x v="1"/>
  </r>
  <r>
    <s v="TX501219"/>
    <x v="10"/>
    <x v="13"/>
    <n v="45"/>
    <n v="270"/>
    <x v="47"/>
    <d v="2025-02-22T00:00:00"/>
    <x v="2"/>
    <x v="2"/>
    <x v="0"/>
    <x v="0"/>
    <x v="3"/>
    <x v="0"/>
    <x v="7"/>
    <x v="2"/>
  </r>
  <r>
    <s v="TX501220"/>
    <x v="7"/>
    <x v="33"/>
    <n v="37.9"/>
    <n v="1288.5999999999999"/>
    <x v="47"/>
    <d v="2025-02-18T00:00:00"/>
    <x v="1"/>
    <x v="0"/>
    <x v="0"/>
    <x v="0"/>
    <x v="3"/>
    <x v="3"/>
    <x v="7"/>
    <x v="1"/>
  </r>
  <r>
    <s v="TX501221"/>
    <x v="6"/>
    <x v="2"/>
    <n v="56.6"/>
    <n v="169.8"/>
    <x v="47"/>
    <d v="2025-02-18T00:00:00"/>
    <x v="1"/>
    <x v="3"/>
    <x v="0"/>
    <x v="0"/>
    <x v="3"/>
    <x v="3"/>
    <x v="7"/>
    <x v="1"/>
  </r>
  <r>
    <s v="TX501222"/>
    <x v="3"/>
    <x v="15"/>
    <n v="84.5"/>
    <n v="1098.5"/>
    <x v="47"/>
    <d v="2025-02-20T00:00:00"/>
    <x v="2"/>
    <x v="1"/>
    <x v="4"/>
    <x v="0"/>
    <x v="3"/>
    <x v="2"/>
    <x v="7"/>
    <x v="2"/>
  </r>
  <r>
    <s v="TX501223"/>
    <x v="2"/>
    <x v="9"/>
    <n v="105.4"/>
    <n v="527"/>
    <x v="47"/>
    <d v="2025-02-19T00:00:00"/>
    <x v="2"/>
    <x v="1"/>
    <x v="1"/>
    <x v="0"/>
    <x v="3"/>
    <x v="1"/>
    <x v="7"/>
    <x v="2"/>
  </r>
  <r>
    <s v="TX501224"/>
    <x v="18"/>
    <x v="3"/>
    <n v="39.4"/>
    <n v="275.8"/>
    <x v="48"/>
    <d v="2025-02-18T00:00:00"/>
    <x v="1"/>
    <x v="1"/>
    <x v="0"/>
    <x v="0"/>
    <x v="37"/>
    <x v="7"/>
    <x v="7"/>
    <x v="1"/>
  </r>
  <r>
    <s v="TX501225"/>
    <x v="19"/>
    <x v="2"/>
    <n v="38"/>
    <n v="114"/>
    <x v="48"/>
    <d v="2025-02-21T00:00:00"/>
    <x v="1"/>
    <x v="4"/>
    <x v="1"/>
    <x v="0"/>
    <x v="6"/>
    <x v="2"/>
    <x v="7"/>
    <x v="1"/>
  </r>
  <r>
    <s v="TX501226"/>
    <x v="17"/>
    <x v="12"/>
    <n v="42.5"/>
    <n v="170"/>
    <x v="48"/>
    <d v="2025-02-20T00:00:00"/>
    <x v="0"/>
    <x v="0"/>
    <x v="0"/>
    <x v="0"/>
    <x v="6"/>
    <x v="1"/>
    <x v="7"/>
    <x v="0"/>
  </r>
  <r>
    <s v="TX501227"/>
    <x v="15"/>
    <x v="0"/>
    <n v="62.3"/>
    <n v="62.3"/>
    <x v="48"/>
    <d v="2025-02-27T00:00:00"/>
    <x v="1"/>
    <x v="0"/>
    <x v="2"/>
    <x v="0"/>
    <x v="6"/>
    <x v="8"/>
    <x v="7"/>
    <x v="1"/>
  </r>
  <r>
    <s v="TX501228"/>
    <x v="6"/>
    <x v="9"/>
    <n v="49.1"/>
    <n v="245.5"/>
    <x v="48"/>
    <d v="2025-02-20T00:00:00"/>
    <x v="2"/>
    <x v="1"/>
    <x v="2"/>
    <x v="0"/>
    <x v="7"/>
    <x v="1"/>
    <x v="7"/>
    <x v="2"/>
  </r>
  <r>
    <s v="TX501229"/>
    <x v="3"/>
    <x v="1"/>
    <n v="30.5"/>
    <n v="61"/>
    <x v="48"/>
    <d v="2025-02-21T00:00:00"/>
    <x v="1"/>
    <x v="0"/>
    <x v="2"/>
    <x v="0"/>
    <x v="8"/>
    <x v="2"/>
    <x v="7"/>
    <x v="1"/>
  </r>
  <r>
    <s v="TX501230"/>
    <x v="2"/>
    <x v="1"/>
    <n v="154.80000000000001"/>
    <n v="309.60000000000002"/>
    <x v="48"/>
    <d v="2025-02-21T00:00:00"/>
    <x v="2"/>
    <x v="1"/>
    <x v="4"/>
    <x v="0"/>
    <x v="8"/>
    <x v="2"/>
    <x v="7"/>
    <x v="2"/>
  </r>
  <r>
    <s v="TX501231"/>
    <x v="6"/>
    <x v="0"/>
    <n v="45"/>
    <n v="45"/>
    <x v="48"/>
    <d v="2025-02-22T00:00:00"/>
    <x v="1"/>
    <x v="3"/>
    <x v="1"/>
    <x v="0"/>
    <x v="8"/>
    <x v="5"/>
    <x v="7"/>
    <x v="1"/>
  </r>
  <r>
    <s v="TX501232"/>
    <x v="0"/>
    <x v="3"/>
    <n v="15.3"/>
    <n v="107.10000000000001"/>
    <x v="48"/>
    <d v="2025-02-19T00:00:00"/>
    <x v="1"/>
    <x v="0"/>
    <x v="2"/>
    <x v="0"/>
    <x v="8"/>
    <x v="3"/>
    <x v="7"/>
    <x v="1"/>
  </r>
  <r>
    <s v="TX501233"/>
    <x v="2"/>
    <x v="5"/>
    <n v="88.6"/>
    <n v="974.59999999999991"/>
    <x v="48"/>
    <d v="2025-02-21T00:00:00"/>
    <x v="2"/>
    <x v="0"/>
    <x v="4"/>
    <x v="0"/>
    <x v="17"/>
    <x v="2"/>
    <x v="7"/>
    <x v="2"/>
  </r>
  <r>
    <s v="TX501234"/>
    <x v="9"/>
    <x v="1"/>
    <n v="49.7"/>
    <n v="99.4"/>
    <x v="48"/>
    <d v="2025-02-20T00:00:00"/>
    <x v="3"/>
    <x v="4"/>
    <x v="0"/>
    <x v="0"/>
    <x v="10"/>
    <x v="1"/>
    <x v="7"/>
    <x v="3"/>
  </r>
  <r>
    <s v="TX501235"/>
    <x v="10"/>
    <x v="0"/>
    <n v="29"/>
    <n v="29"/>
    <x v="48"/>
    <d v="2025-02-19T00:00:00"/>
    <x v="1"/>
    <x v="0"/>
    <x v="0"/>
    <x v="0"/>
    <x v="11"/>
    <x v="3"/>
    <x v="7"/>
    <x v="1"/>
  </r>
  <r>
    <s v="TX501236"/>
    <x v="1"/>
    <x v="0"/>
    <n v="60.7"/>
    <n v="60.7"/>
    <x v="48"/>
    <d v="2025-02-19T00:00:00"/>
    <x v="3"/>
    <x v="0"/>
    <x v="1"/>
    <x v="0"/>
    <x v="11"/>
    <x v="3"/>
    <x v="7"/>
    <x v="3"/>
  </r>
  <r>
    <s v="TX501237"/>
    <x v="17"/>
    <x v="12"/>
    <n v="87.4"/>
    <n v="349.6"/>
    <x v="48"/>
    <d v="2025-02-20T00:00:00"/>
    <x v="0"/>
    <x v="0"/>
    <x v="0"/>
    <x v="0"/>
    <x v="11"/>
    <x v="1"/>
    <x v="7"/>
    <x v="0"/>
  </r>
  <r>
    <s v="TX501238"/>
    <x v="4"/>
    <x v="3"/>
    <n v="44.5"/>
    <n v="311.5"/>
    <x v="48"/>
    <d v="2025-02-22T00:00:00"/>
    <x v="2"/>
    <x v="2"/>
    <x v="2"/>
    <x v="0"/>
    <x v="19"/>
    <x v="5"/>
    <x v="7"/>
    <x v="2"/>
  </r>
  <r>
    <s v="TX501239"/>
    <x v="2"/>
    <x v="0"/>
    <n v="141"/>
    <n v="141"/>
    <x v="48"/>
    <d v="2025-02-19T00:00:00"/>
    <x v="1"/>
    <x v="4"/>
    <x v="2"/>
    <x v="0"/>
    <x v="19"/>
    <x v="3"/>
    <x v="7"/>
    <x v="1"/>
  </r>
  <r>
    <s v="TX501240"/>
    <x v="0"/>
    <x v="2"/>
    <n v="16.7"/>
    <n v="50.099999999999994"/>
    <x v="48"/>
    <d v="2025-02-26T00:00:00"/>
    <x v="2"/>
    <x v="0"/>
    <x v="0"/>
    <x v="0"/>
    <x v="20"/>
    <x v="9"/>
    <x v="7"/>
    <x v="2"/>
  </r>
  <r>
    <s v="TX501241"/>
    <x v="1"/>
    <x v="1"/>
    <n v="77.5"/>
    <n v="155"/>
    <x v="48"/>
    <d v="2025-02-19T00:00:00"/>
    <x v="0"/>
    <x v="2"/>
    <x v="2"/>
    <x v="0"/>
    <x v="13"/>
    <x v="3"/>
    <x v="7"/>
    <x v="0"/>
  </r>
  <r>
    <s v="TX501242"/>
    <x v="2"/>
    <x v="1"/>
    <n v="163"/>
    <n v="326"/>
    <x v="48"/>
    <d v="2025-02-24T00:00:00"/>
    <x v="2"/>
    <x v="4"/>
    <x v="0"/>
    <x v="0"/>
    <x v="21"/>
    <x v="4"/>
    <x v="7"/>
    <x v="2"/>
  </r>
  <r>
    <s v="TX501243"/>
    <x v="4"/>
    <x v="11"/>
    <n v="21.4"/>
    <n v="192.6"/>
    <x v="48"/>
    <d v="2025-02-21T00:00:00"/>
    <x v="2"/>
    <x v="0"/>
    <x v="0"/>
    <x v="0"/>
    <x v="51"/>
    <x v="2"/>
    <x v="7"/>
    <x v="2"/>
  </r>
  <r>
    <s v="TX501244"/>
    <x v="10"/>
    <x v="5"/>
    <n v="31"/>
    <n v="341"/>
    <x v="48"/>
    <d v="2025-02-20T00:00:00"/>
    <x v="2"/>
    <x v="3"/>
    <x v="2"/>
    <x v="0"/>
    <x v="1"/>
    <x v="1"/>
    <x v="7"/>
    <x v="2"/>
  </r>
  <r>
    <s v="TX501245"/>
    <x v="7"/>
    <x v="1"/>
    <n v="34.299999999999997"/>
    <n v="68.599999999999994"/>
    <x v="48"/>
    <d v="2025-02-20T00:00:00"/>
    <x v="2"/>
    <x v="0"/>
    <x v="3"/>
    <x v="0"/>
    <x v="1"/>
    <x v="1"/>
    <x v="7"/>
    <x v="2"/>
  </r>
  <r>
    <s v="TX501246"/>
    <x v="17"/>
    <x v="9"/>
    <n v="48.2"/>
    <n v="241"/>
    <x v="48"/>
    <d v="2025-02-19T00:00:00"/>
    <x v="1"/>
    <x v="1"/>
    <x v="1"/>
    <x v="0"/>
    <x v="2"/>
    <x v="3"/>
    <x v="7"/>
    <x v="1"/>
  </r>
  <r>
    <s v="TX501247"/>
    <x v="10"/>
    <x v="0"/>
    <n v="51.4"/>
    <n v="51.4"/>
    <x v="48"/>
    <d v="2025-02-19T00:00:00"/>
    <x v="1"/>
    <x v="0"/>
    <x v="0"/>
    <x v="0"/>
    <x v="3"/>
    <x v="3"/>
    <x v="7"/>
    <x v="1"/>
  </r>
  <r>
    <s v="TX501248"/>
    <x v="2"/>
    <x v="9"/>
    <n v="117.2"/>
    <n v="586"/>
    <x v="48"/>
    <d v="2025-02-21T00:00:00"/>
    <x v="2"/>
    <x v="4"/>
    <x v="4"/>
    <x v="0"/>
    <x v="3"/>
    <x v="2"/>
    <x v="7"/>
    <x v="2"/>
  </r>
  <r>
    <s v="TX501249"/>
    <x v="8"/>
    <x v="0"/>
    <n v="38.1"/>
    <n v="38.1"/>
    <x v="48"/>
    <d v="2025-02-18T00:00:00"/>
    <x v="1"/>
    <x v="4"/>
    <x v="1"/>
    <x v="0"/>
    <x v="3"/>
    <x v="7"/>
    <x v="7"/>
    <x v="1"/>
  </r>
  <r>
    <s v="TX501250"/>
    <x v="0"/>
    <x v="1"/>
    <n v="44.1"/>
    <n v="88.2"/>
    <x v="48"/>
    <d v="2025-02-20T00:00:00"/>
    <x v="2"/>
    <x v="2"/>
    <x v="0"/>
    <x v="0"/>
    <x v="3"/>
    <x v="1"/>
    <x v="7"/>
    <x v="2"/>
  </r>
  <r>
    <s v="TX501251"/>
    <x v="15"/>
    <x v="12"/>
    <n v="80.5"/>
    <n v="322"/>
    <x v="48"/>
    <d v="2025-02-23T00:00:00"/>
    <x v="1"/>
    <x v="0"/>
    <x v="0"/>
    <x v="0"/>
    <x v="3"/>
    <x v="0"/>
    <x v="7"/>
    <x v="1"/>
  </r>
  <r>
    <s v="TX501252"/>
    <x v="18"/>
    <x v="12"/>
    <n v="33.6"/>
    <n v="134.4"/>
    <x v="48"/>
    <d v="2025-02-23T00:00:00"/>
    <x v="0"/>
    <x v="0"/>
    <x v="2"/>
    <x v="0"/>
    <x v="3"/>
    <x v="0"/>
    <x v="7"/>
    <x v="0"/>
  </r>
  <r>
    <s v="TX501253"/>
    <x v="9"/>
    <x v="11"/>
    <n v="41.8"/>
    <n v="376.2"/>
    <x v="48"/>
    <d v="2025-02-19T00:00:00"/>
    <x v="2"/>
    <x v="0"/>
    <x v="1"/>
    <x v="0"/>
    <x v="3"/>
    <x v="3"/>
    <x v="7"/>
    <x v="2"/>
  </r>
  <r>
    <s v="TX501254"/>
    <x v="1"/>
    <x v="1"/>
    <n v="106.2"/>
    <n v="212.4"/>
    <x v="48"/>
    <d v="2025-02-18T00:00:00"/>
    <x v="2"/>
    <x v="4"/>
    <x v="2"/>
    <x v="0"/>
    <x v="3"/>
    <x v="7"/>
    <x v="7"/>
    <x v="2"/>
  </r>
  <r>
    <s v="TX501255"/>
    <x v="1"/>
    <x v="1"/>
    <n v="52.6"/>
    <n v="105.2"/>
    <x v="48"/>
    <d v="2025-02-19T00:00:00"/>
    <x v="2"/>
    <x v="0"/>
    <x v="2"/>
    <x v="0"/>
    <x v="5"/>
    <x v="3"/>
    <x v="7"/>
    <x v="2"/>
  </r>
  <r>
    <s v="TX501256"/>
    <x v="11"/>
    <x v="3"/>
    <n v="68.5"/>
    <n v="479.5"/>
    <x v="48"/>
    <d v="2025-02-19T00:00:00"/>
    <x v="2"/>
    <x v="1"/>
    <x v="0"/>
    <x v="0"/>
    <x v="5"/>
    <x v="3"/>
    <x v="7"/>
    <x v="2"/>
  </r>
  <r>
    <s v="TX501257"/>
    <x v="1"/>
    <x v="1"/>
    <n v="55.6"/>
    <n v="111.2"/>
    <x v="48"/>
    <d v="2025-02-20T00:00:00"/>
    <x v="1"/>
    <x v="1"/>
    <x v="2"/>
    <x v="0"/>
    <x v="6"/>
    <x v="1"/>
    <x v="7"/>
    <x v="1"/>
  </r>
  <r>
    <s v="TX501258"/>
    <x v="2"/>
    <x v="2"/>
    <n v="134.9"/>
    <n v="404.70000000000005"/>
    <x v="48"/>
    <d v="2025-02-19T00:00:00"/>
    <x v="1"/>
    <x v="1"/>
    <x v="1"/>
    <x v="0"/>
    <x v="6"/>
    <x v="3"/>
    <x v="7"/>
    <x v="1"/>
  </r>
  <r>
    <s v="TX501259"/>
    <x v="10"/>
    <x v="9"/>
    <n v="42.6"/>
    <n v="213"/>
    <x v="48"/>
    <d v="2025-02-19T00:00:00"/>
    <x v="1"/>
    <x v="0"/>
    <x v="0"/>
    <x v="0"/>
    <x v="6"/>
    <x v="3"/>
    <x v="7"/>
    <x v="1"/>
  </r>
  <r>
    <s v="TX501260"/>
    <x v="7"/>
    <x v="9"/>
    <n v="60.6"/>
    <n v="303"/>
    <x v="48"/>
    <d v="2025-02-20T00:00:00"/>
    <x v="1"/>
    <x v="4"/>
    <x v="0"/>
    <x v="0"/>
    <x v="6"/>
    <x v="1"/>
    <x v="7"/>
    <x v="1"/>
  </r>
  <r>
    <s v="TX501261"/>
    <x v="8"/>
    <x v="1"/>
    <n v="43.5"/>
    <n v="87"/>
    <x v="48"/>
    <d v="2025-02-19T00:00:00"/>
    <x v="1"/>
    <x v="4"/>
    <x v="0"/>
    <x v="0"/>
    <x v="7"/>
    <x v="3"/>
    <x v="7"/>
    <x v="1"/>
  </r>
  <r>
    <s v="TX501262"/>
    <x v="2"/>
    <x v="1"/>
    <n v="187.1"/>
    <n v="374.2"/>
    <x v="48"/>
    <d v="2025-02-19T00:00:00"/>
    <x v="1"/>
    <x v="1"/>
    <x v="2"/>
    <x v="0"/>
    <x v="8"/>
    <x v="3"/>
    <x v="7"/>
    <x v="1"/>
  </r>
  <r>
    <s v="TX501263"/>
    <x v="9"/>
    <x v="2"/>
    <n v="32"/>
    <n v="96"/>
    <x v="48"/>
    <d v="2025-02-20T00:00:00"/>
    <x v="1"/>
    <x v="0"/>
    <x v="0"/>
    <x v="0"/>
    <x v="8"/>
    <x v="1"/>
    <x v="7"/>
    <x v="1"/>
  </r>
  <r>
    <s v="TX501264"/>
    <x v="9"/>
    <x v="1"/>
    <n v="110.8"/>
    <n v="221.6"/>
    <x v="48"/>
    <d v="2025-02-18T00:00:00"/>
    <x v="1"/>
    <x v="0"/>
    <x v="2"/>
    <x v="0"/>
    <x v="8"/>
    <x v="7"/>
    <x v="7"/>
    <x v="1"/>
  </r>
  <r>
    <s v="TX501265"/>
    <x v="10"/>
    <x v="15"/>
    <n v="36.1"/>
    <n v="469.3"/>
    <x v="48"/>
    <d v="2025-02-21T00:00:00"/>
    <x v="2"/>
    <x v="0"/>
    <x v="1"/>
    <x v="0"/>
    <x v="8"/>
    <x v="2"/>
    <x v="7"/>
    <x v="2"/>
  </r>
  <r>
    <s v="TX501266"/>
    <x v="0"/>
    <x v="0"/>
    <n v="24.1"/>
    <n v="24.1"/>
    <x v="48"/>
    <d v="2025-02-20T00:00:00"/>
    <x v="2"/>
    <x v="4"/>
    <x v="2"/>
    <x v="0"/>
    <x v="8"/>
    <x v="1"/>
    <x v="7"/>
    <x v="2"/>
  </r>
  <r>
    <s v="TX501267"/>
    <x v="19"/>
    <x v="2"/>
    <n v="30.5"/>
    <n v="91.5"/>
    <x v="48"/>
    <d v="2025-02-20T00:00:00"/>
    <x v="1"/>
    <x v="1"/>
    <x v="0"/>
    <x v="0"/>
    <x v="8"/>
    <x v="1"/>
    <x v="7"/>
    <x v="1"/>
  </r>
  <r>
    <s v="TX501268"/>
    <x v="18"/>
    <x v="13"/>
    <n v="68.3"/>
    <n v="409.79999999999995"/>
    <x v="48"/>
    <d v="2025-02-21T00:00:00"/>
    <x v="1"/>
    <x v="0"/>
    <x v="0"/>
    <x v="0"/>
    <x v="8"/>
    <x v="2"/>
    <x v="7"/>
    <x v="1"/>
  </r>
  <r>
    <s v="TX501269"/>
    <x v="7"/>
    <x v="2"/>
    <n v="43.3"/>
    <n v="129.89999999999998"/>
    <x v="48"/>
    <d v="2025-02-22T00:00:00"/>
    <x v="2"/>
    <x v="0"/>
    <x v="0"/>
    <x v="0"/>
    <x v="17"/>
    <x v="5"/>
    <x v="7"/>
    <x v="2"/>
  </r>
  <r>
    <s v="TX501270"/>
    <x v="3"/>
    <x v="0"/>
    <n v="101.7"/>
    <n v="101.7"/>
    <x v="48"/>
    <d v="2025-02-21T00:00:00"/>
    <x v="2"/>
    <x v="0"/>
    <x v="1"/>
    <x v="0"/>
    <x v="17"/>
    <x v="2"/>
    <x v="7"/>
    <x v="2"/>
  </r>
  <r>
    <s v="TX501271"/>
    <x v="11"/>
    <x v="1"/>
    <n v="54.2"/>
    <n v="108.4"/>
    <x v="48"/>
    <d v="2025-02-19T00:00:00"/>
    <x v="2"/>
    <x v="0"/>
    <x v="1"/>
    <x v="0"/>
    <x v="17"/>
    <x v="3"/>
    <x v="7"/>
    <x v="2"/>
  </r>
  <r>
    <s v="TX501272"/>
    <x v="16"/>
    <x v="1"/>
    <n v="51"/>
    <n v="102"/>
    <x v="48"/>
    <d v="2025-02-18T00:00:00"/>
    <x v="1"/>
    <x v="1"/>
    <x v="0"/>
    <x v="0"/>
    <x v="26"/>
    <x v="7"/>
    <x v="7"/>
    <x v="1"/>
  </r>
  <r>
    <s v="TX501273"/>
    <x v="4"/>
    <x v="1"/>
    <n v="23.1"/>
    <n v="46.2"/>
    <x v="48"/>
    <d v="2025-02-21T00:00:00"/>
    <x v="1"/>
    <x v="1"/>
    <x v="0"/>
    <x v="0"/>
    <x v="10"/>
    <x v="2"/>
    <x v="7"/>
    <x v="1"/>
  </r>
  <r>
    <s v="TX501274"/>
    <x v="12"/>
    <x v="13"/>
    <n v="60.1"/>
    <n v="360.6"/>
    <x v="48"/>
    <d v="2025-02-18T00:00:00"/>
    <x v="2"/>
    <x v="3"/>
    <x v="0"/>
    <x v="0"/>
    <x v="11"/>
    <x v="7"/>
    <x v="7"/>
    <x v="2"/>
  </r>
  <r>
    <s v="TX501275"/>
    <x v="2"/>
    <x v="3"/>
    <n v="87.5"/>
    <n v="612.5"/>
    <x v="48"/>
    <d v="2025-02-20T00:00:00"/>
    <x v="2"/>
    <x v="0"/>
    <x v="1"/>
    <x v="0"/>
    <x v="11"/>
    <x v="1"/>
    <x v="7"/>
    <x v="2"/>
  </r>
  <r>
    <s v="TX501276"/>
    <x v="1"/>
    <x v="2"/>
    <n v="51"/>
    <n v="153"/>
    <x v="48"/>
    <d v="2025-02-19T00:00:00"/>
    <x v="2"/>
    <x v="1"/>
    <x v="0"/>
    <x v="0"/>
    <x v="11"/>
    <x v="3"/>
    <x v="7"/>
    <x v="2"/>
  </r>
  <r>
    <s v="TX501277"/>
    <x v="8"/>
    <x v="12"/>
    <n v="19.2"/>
    <n v="76.8"/>
    <x v="48"/>
    <d v="2025-02-20T00:00:00"/>
    <x v="2"/>
    <x v="0"/>
    <x v="0"/>
    <x v="0"/>
    <x v="11"/>
    <x v="1"/>
    <x v="7"/>
    <x v="2"/>
  </r>
  <r>
    <s v="TX501278"/>
    <x v="5"/>
    <x v="8"/>
    <n v="26.5"/>
    <n v="212"/>
    <x v="48"/>
    <d v="2025-02-19T00:00:00"/>
    <x v="0"/>
    <x v="3"/>
    <x v="2"/>
    <x v="0"/>
    <x v="11"/>
    <x v="3"/>
    <x v="7"/>
    <x v="0"/>
  </r>
  <r>
    <s v="TX501279"/>
    <x v="2"/>
    <x v="1"/>
    <n v="220.3"/>
    <n v="440.6"/>
    <x v="48"/>
    <d v="2025-02-19T00:00:00"/>
    <x v="2"/>
    <x v="1"/>
    <x v="4"/>
    <x v="0"/>
    <x v="53"/>
    <x v="3"/>
    <x v="7"/>
    <x v="2"/>
  </r>
  <r>
    <s v="TX501280"/>
    <x v="8"/>
    <x v="2"/>
    <n v="45.7"/>
    <n v="137.10000000000002"/>
    <x v="48"/>
    <d v="2025-02-19T00:00:00"/>
    <x v="2"/>
    <x v="4"/>
    <x v="0"/>
    <x v="0"/>
    <x v="30"/>
    <x v="3"/>
    <x v="7"/>
    <x v="2"/>
  </r>
  <r>
    <s v="TX501281"/>
    <x v="5"/>
    <x v="9"/>
    <n v="47.1"/>
    <n v="235.5"/>
    <x v="48"/>
    <d v="2025-02-22T00:00:00"/>
    <x v="2"/>
    <x v="3"/>
    <x v="0"/>
    <x v="0"/>
    <x v="13"/>
    <x v="5"/>
    <x v="7"/>
    <x v="2"/>
  </r>
  <r>
    <s v="TX501282"/>
    <x v="1"/>
    <x v="9"/>
    <n v="81.7"/>
    <n v="408.5"/>
    <x v="48"/>
    <d v="2025-02-19T00:00:00"/>
    <x v="2"/>
    <x v="0"/>
    <x v="2"/>
    <x v="0"/>
    <x v="21"/>
    <x v="3"/>
    <x v="7"/>
    <x v="2"/>
  </r>
  <r>
    <s v="TX501283"/>
    <x v="6"/>
    <x v="7"/>
    <n v="97.8"/>
    <n v="978"/>
    <x v="48"/>
    <d v="2025-02-18T00:00:00"/>
    <x v="1"/>
    <x v="1"/>
    <x v="1"/>
    <x v="0"/>
    <x v="21"/>
    <x v="7"/>
    <x v="7"/>
    <x v="1"/>
  </r>
  <r>
    <s v="TX501284"/>
    <x v="6"/>
    <x v="2"/>
    <n v="42.4"/>
    <n v="127.19999999999999"/>
    <x v="48"/>
    <d v="2025-02-19T00:00:00"/>
    <x v="2"/>
    <x v="0"/>
    <x v="2"/>
    <x v="0"/>
    <x v="54"/>
    <x v="3"/>
    <x v="7"/>
    <x v="2"/>
  </r>
  <r>
    <s v="TX501285"/>
    <x v="2"/>
    <x v="7"/>
    <n v="74.5"/>
    <n v="745"/>
    <x v="48"/>
    <d v="2025-02-19T00:00:00"/>
    <x v="1"/>
    <x v="2"/>
    <x v="1"/>
    <x v="0"/>
    <x v="1"/>
    <x v="3"/>
    <x v="7"/>
    <x v="1"/>
  </r>
  <r>
    <s v="TX501286"/>
    <x v="17"/>
    <x v="13"/>
    <n v="47.4"/>
    <n v="284.39999999999998"/>
    <x v="48"/>
    <d v="2025-02-19T00:00:00"/>
    <x v="1"/>
    <x v="1"/>
    <x v="0"/>
    <x v="0"/>
    <x v="1"/>
    <x v="3"/>
    <x v="7"/>
    <x v="1"/>
  </r>
  <r>
    <s v="TX501287"/>
    <x v="14"/>
    <x v="2"/>
    <n v="17.3"/>
    <n v="51.900000000000006"/>
    <x v="49"/>
    <d v="2025-02-22T00:00:00"/>
    <x v="1"/>
    <x v="2"/>
    <x v="2"/>
    <x v="0"/>
    <x v="1"/>
    <x v="2"/>
    <x v="7"/>
    <x v="1"/>
  </r>
  <r>
    <s v="TX501288"/>
    <x v="12"/>
    <x v="12"/>
    <n v="77.900000000000006"/>
    <n v="311.60000000000002"/>
    <x v="49"/>
    <d v="2025-02-20T00:00:00"/>
    <x v="1"/>
    <x v="1"/>
    <x v="0"/>
    <x v="0"/>
    <x v="2"/>
    <x v="3"/>
    <x v="7"/>
    <x v="1"/>
  </r>
  <r>
    <s v="TX501289"/>
    <x v="8"/>
    <x v="0"/>
    <n v="29.1"/>
    <n v="29.1"/>
    <x v="49"/>
    <d v="2025-02-22T00:00:00"/>
    <x v="1"/>
    <x v="0"/>
    <x v="2"/>
    <x v="0"/>
    <x v="50"/>
    <x v="2"/>
    <x v="7"/>
    <x v="1"/>
  </r>
  <r>
    <s v="TX501290"/>
    <x v="8"/>
    <x v="0"/>
    <n v="49"/>
    <n v="49"/>
    <x v="49"/>
    <d v="2025-02-20T00:00:00"/>
    <x v="1"/>
    <x v="1"/>
    <x v="0"/>
    <x v="0"/>
    <x v="3"/>
    <x v="3"/>
    <x v="7"/>
    <x v="1"/>
  </r>
  <r>
    <s v="TX501291"/>
    <x v="8"/>
    <x v="13"/>
    <n v="21.1"/>
    <n v="126.60000000000001"/>
    <x v="49"/>
    <d v="2025-02-26T00:00:00"/>
    <x v="1"/>
    <x v="0"/>
    <x v="2"/>
    <x v="0"/>
    <x v="3"/>
    <x v="6"/>
    <x v="7"/>
    <x v="1"/>
  </r>
  <r>
    <s v="TX501292"/>
    <x v="4"/>
    <x v="10"/>
    <n v="36.9"/>
    <n v="701.1"/>
    <x v="49"/>
    <d v="2025-02-19T00:00:00"/>
    <x v="2"/>
    <x v="0"/>
    <x v="0"/>
    <x v="0"/>
    <x v="3"/>
    <x v="7"/>
    <x v="7"/>
    <x v="2"/>
  </r>
  <r>
    <s v="TX501293"/>
    <x v="1"/>
    <x v="7"/>
    <n v="92.6"/>
    <n v="926"/>
    <x v="49"/>
    <d v="2025-02-24T00:00:00"/>
    <x v="1"/>
    <x v="4"/>
    <x v="2"/>
    <x v="0"/>
    <x v="3"/>
    <x v="0"/>
    <x v="7"/>
    <x v="1"/>
  </r>
  <r>
    <s v="TX501294"/>
    <x v="10"/>
    <x v="1"/>
    <n v="38"/>
    <n v="76"/>
    <x v="49"/>
    <d v="2025-02-20T00:00:00"/>
    <x v="1"/>
    <x v="1"/>
    <x v="1"/>
    <x v="0"/>
    <x v="3"/>
    <x v="3"/>
    <x v="7"/>
    <x v="1"/>
  </r>
  <r>
    <s v="TX501295"/>
    <x v="5"/>
    <x v="2"/>
    <n v="54.8"/>
    <n v="164.39999999999998"/>
    <x v="49"/>
    <d v="2025-02-23T00:00:00"/>
    <x v="0"/>
    <x v="0"/>
    <x v="1"/>
    <x v="0"/>
    <x v="3"/>
    <x v="5"/>
    <x v="7"/>
    <x v="0"/>
  </r>
  <r>
    <s v="TX501296"/>
    <x v="10"/>
    <x v="4"/>
    <n v="56.8"/>
    <n v="681.59999999999991"/>
    <x v="49"/>
    <d v="2025-02-21T00:00:00"/>
    <x v="1"/>
    <x v="1"/>
    <x v="0"/>
    <x v="0"/>
    <x v="3"/>
    <x v="1"/>
    <x v="7"/>
    <x v="1"/>
  </r>
  <r>
    <s v="TX501297"/>
    <x v="11"/>
    <x v="40"/>
    <n v="47.2"/>
    <n v="1557.6000000000001"/>
    <x v="49"/>
    <d v="2025-02-22T00:00:00"/>
    <x v="2"/>
    <x v="1"/>
    <x v="0"/>
    <x v="0"/>
    <x v="3"/>
    <x v="2"/>
    <x v="7"/>
    <x v="2"/>
  </r>
  <r>
    <s v="TX501298"/>
    <x v="7"/>
    <x v="13"/>
    <n v="45.1"/>
    <n v="270.60000000000002"/>
    <x v="49"/>
    <d v="2025-02-20T00:00:00"/>
    <x v="2"/>
    <x v="2"/>
    <x v="0"/>
    <x v="0"/>
    <x v="43"/>
    <x v="3"/>
    <x v="7"/>
    <x v="2"/>
  </r>
  <r>
    <s v="TX501299"/>
    <x v="4"/>
    <x v="4"/>
    <n v="25.2"/>
    <n v="302.39999999999998"/>
    <x v="49"/>
    <d v="2025-02-24T00:00:00"/>
    <x v="2"/>
    <x v="2"/>
    <x v="0"/>
    <x v="0"/>
    <x v="16"/>
    <x v="0"/>
    <x v="7"/>
    <x v="2"/>
  </r>
  <r>
    <s v="TX501300"/>
    <x v="8"/>
    <x v="0"/>
    <n v="22"/>
    <n v="22"/>
    <x v="49"/>
    <d v="2025-02-20T00:00:00"/>
    <x v="2"/>
    <x v="0"/>
    <x v="0"/>
    <x v="0"/>
    <x v="5"/>
    <x v="3"/>
    <x v="7"/>
    <x v="2"/>
  </r>
  <r>
    <s v="TX501301"/>
    <x v="6"/>
    <x v="1"/>
    <n v="42.2"/>
    <n v="84.4"/>
    <x v="49"/>
    <d v="2025-02-20T00:00:00"/>
    <x v="2"/>
    <x v="1"/>
    <x v="1"/>
    <x v="0"/>
    <x v="23"/>
    <x v="3"/>
    <x v="7"/>
    <x v="2"/>
  </r>
  <r>
    <s v="TX501302"/>
    <x v="13"/>
    <x v="2"/>
    <n v="20.5"/>
    <n v="61.5"/>
    <x v="49"/>
    <d v="2025-02-20T00:00:00"/>
    <x v="1"/>
    <x v="0"/>
    <x v="1"/>
    <x v="0"/>
    <x v="6"/>
    <x v="3"/>
    <x v="7"/>
    <x v="1"/>
  </r>
  <r>
    <s v="TX501303"/>
    <x v="2"/>
    <x v="0"/>
    <n v="190.4"/>
    <n v="190.4"/>
    <x v="49"/>
    <d v="2025-02-24T00:00:00"/>
    <x v="1"/>
    <x v="1"/>
    <x v="4"/>
    <x v="0"/>
    <x v="6"/>
    <x v="0"/>
    <x v="7"/>
    <x v="1"/>
  </r>
  <r>
    <s v="TX501304"/>
    <x v="2"/>
    <x v="0"/>
    <n v="121.9"/>
    <n v="121.9"/>
    <x v="49"/>
    <d v="2025-02-21T00:00:00"/>
    <x v="2"/>
    <x v="1"/>
    <x v="2"/>
    <x v="0"/>
    <x v="6"/>
    <x v="1"/>
    <x v="7"/>
    <x v="2"/>
  </r>
  <r>
    <s v="TX501305"/>
    <x v="2"/>
    <x v="13"/>
    <n v="149.19999999999999"/>
    <n v="895.19999999999993"/>
    <x v="49"/>
    <d v="2025-02-20T00:00:00"/>
    <x v="2"/>
    <x v="2"/>
    <x v="2"/>
    <x v="0"/>
    <x v="7"/>
    <x v="3"/>
    <x v="7"/>
    <x v="2"/>
  </r>
  <r>
    <s v="TX501306"/>
    <x v="2"/>
    <x v="0"/>
    <n v="54.1"/>
    <n v="54.1"/>
    <x v="49"/>
    <d v="2025-02-28T00:00:00"/>
    <x v="2"/>
    <x v="2"/>
    <x v="2"/>
    <x v="0"/>
    <x v="7"/>
    <x v="8"/>
    <x v="7"/>
    <x v="2"/>
  </r>
  <r>
    <s v="TX501307"/>
    <x v="5"/>
    <x v="1"/>
    <n v="27.4"/>
    <n v="54.8"/>
    <x v="49"/>
    <d v="2025-02-21T00:00:00"/>
    <x v="1"/>
    <x v="1"/>
    <x v="0"/>
    <x v="0"/>
    <x v="8"/>
    <x v="1"/>
    <x v="7"/>
    <x v="1"/>
  </r>
  <r>
    <s v="TX501308"/>
    <x v="0"/>
    <x v="15"/>
    <n v="30.4"/>
    <n v="395.2"/>
    <x v="49"/>
    <d v="2025-02-20T00:00:00"/>
    <x v="2"/>
    <x v="0"/>
    <x v="2"/>
    <x v="0"/>
    <x v="8"/>
    <x v="3"/>
    <x v="7"/>
    <x v="2"/>
  </r>
  <r>
    <s v="TX501309"/>
    <x v="12"/>
    <x v="2"/>
    <n v="46.2"/>
    <n v="138.60000000000002"/>
    <x v="49"/>
    <d v="2025-02-21T00:00:00"/>
    <x v="1"/>
    <x v="2"/>
    <x v="1"/>
    <x v="0"/>
    <x v="17"/>
    <x v="1"/>
    <x v="7"/>
    <x v="1"/>
  </r>
  <r>
    <s v="TX501310"/>
    <x v="7"/>
    <x v="8"/>
    <n v="78.599999999999994"/>
    <n v="628.79999999999995"/>
    <x v="49"/>
    <d v="2025-02-23T00:00:00"/>
    <x v="1"/>
    <x v="3"/>
    <x v="0"/>
    <x v="0"/>
    <x v="17"/>
    <x v="5"/>
    <x v="7"/>
    <x v="1"/>
  </r>
  <r>
    <s v="TX501311"/>
    <x v="17"/>
    <x v="7"/>
    <n v="25.9"/>
    <n v="259"/>
    <x v="49"/>
    <d v="2025-02-25T00:00:00"/>
    <x v="1"/>
    <x v="4"/>
    <x v="0"/>
    <x v="0"/>
    <x v="9"/>
    <x v="4"/>
    <x v="7"/>
    <x v="1"/>
  </r>
  <r>
    <s v="TX501312"/>
    <x v="6"/>
    <x v="0"/>
    <n v="134.80000000000001"/>
    <n v="134.80000000000001"/>
    <x v="49"/>
    <d v="2025-02-21T00:00:00"/>
    <x v="1"/>
    <x v="2"/>
    <x v="2"/>
    <x v="0"/>
    <x v="9"/>
    <x v="1"/>
    <x v="7"/>
    <x v="1"/>
  </r>
  <r>
    <s v="TX501313"/>
    <x v="15"/>
    <x v="9"/>
    <n v="43.1"/>
    <n v="215.5"/>
    <x v="49"/>
    <d v="2025-02-21T00:00:00"/>
    <x v="2"/>
    <x v="0"/>
    <x v="0"/>
    <x v="0"/>
    <x v="11"/>
    <x v="1"/>
    <x v="7"/>
    <x v="2"/>
  </r>
  <r>
    <s v="TX501314"/>
    <x v="2"/>
    <x v="1"/>
    <n v="215.6"/>
    <n v="431.2"/>
    <x v="49"/>
    <d v="2025-02-20T00:00:00"/>
    <x v="2"/>
    <x v="2"/>
    <x v="0"/>
    <x v="0"/>
    <x v="18"/>
    <x v="3"/>
    <x v="7"/>
    <x v="2"/>
  </r>
  <r>
    <s v="TX501315"/>
    <x v="6"/>
    <x v="1"/>
    <n v="80.7"/>
    <n v="161.4"/>
    <x v="49"/>
    <d v="2025-02-22T00:00:00"/>
    <x v="2"/>
    <x v="3"/>
    <x v="0"/>
    <x v="0"/>
    <x v="18"/>
    <x v="2"/>
    <x v="7"/>
    <x v="2"/>
  </r>
  <r>
    <s v="TX501316"/>
    <x v="10"/>
    <x v="3"/>
    <n v="20.6"/>
    <n v="144.20000000000002"/>
    <x v="49"/>
    <d v="2025-02-24T00:00:00"/>
    <x v="0"/>
    <x v="2"/>
    <x v="1"/>
    <x v="0"/>
    <x v="19"/>
    <x v="0"/>
    <x v="7"/>
    <x v="0"/>
  </r>
  <r>
    <s v="TX501317"/>
    <x v="12"/>
    <x v="2"/>
    <n v="37.1"/>
    <n v="111.30000000000001"/>
    <x v="49"/>
    <d v="2025-02-20T00:00:00"/>
    <x v="2"/>
    <x v="0"/>
    <x v="0"/>
    <x v="0"/>
    <x v="52"/>
    <x v="3"/>
    <x v="7"/>
    <x v="2"/>
  </r>
  <r>
    <s v="TX501318"/>
    <x v="12"/>
    <x v="0"/>
    <n v="104.8"/>
    <n v="104.8"/>
    <x v="50"/>
    <d v="2025-02-22T00:00:00"/>
    <x v="2"/>
    <x v="0"/>
    <x v="0"/>
    <x v="0"/>
    <x v="13"/>
    <x v="1"/>
    <x v="7"/>
    <x v="2"/>
  </r>
  <r>
    <s v="TX501319"/>
    <x v="8"/>
    <x v="1"/>
    <n v="59"/>
    <n v="118"/>
    <x v="50"/>
    <d v="2025-02-21T00:00:00"/>
    <x v="1"/>
    <x v="1"/>
    <x v="0"/>
    <x v="0"/>
    <x v="21"/>
    <x v="3"/>
    <x v="7"/>
    <x v="1"/>
  </r>
  <r>
    <s v="TX501320"/>
    <x v="8"/>
    <x v="1"/>
    <n v="32.299999999999997"/>
    <n v="64.599999999999994"/>
    <x v="50"/>
    <d v="2025-02-21T00:00:00"/>
    <x v="1"/>
    <x v="0"/>
    <x v="2"/>
    <x v="0"/>
    <x v="21"/>
    <x v="3"/>
    <x v="7"/>
    <x v="1"/>
  </r>
  <r>
    <s v="TX501321"/>
    <x v="8"/>
    <x v="12"/>
    <n v="28.9"/>
    <n v="115.6"/>
    <x v="50"/>
    <d v="2025-02-27T00:00:00"/>
    <x v="1"/>
    <x v="0"/>
    <x v="0"/>
    <x v="0"/>
    <x v="1"/>
    <x v="6"/>
    <x v="7"/>
    <x v="1"/>
  </r>
  <r>
    <s v="TX501322"/>
    <x v="0"/>
    <x v="1"/>
    <n v="29.6"/>
    <n v="59.2"/>
    <x v="50"/>
    <d v="2025-02-22T00:00:00"/>
    <x v="1"/>
    <x v="0"/>
    <x v="0"/>
    <x v="0"/>
    <x v="1"/>
    <x v="1"/>
    <x v="7"/>
    <x v="1"/>
  </r>
  <r>
    <s v="TX501323"/>
    <x v="0"/>
    <x v="9"/>
    <n v="29.4"/>
    <n v="147"/>
    <x v="50"/>
    <d v="2025-02-23T00:00:00"/>
    <x v="2"/>
    <x v="0"/>
    <x v="0"/>
    <x v="0"/>
    <x v="1"/>
    <x v="2"/>
    <x v="7"/>
    <x v="2"/>
  </r>
  <r>
    <s v="TX501324"/>
    <x v="1"/>
    <x v="1"/>
    <n v="40.6"/>
    <n v="81.2"/>
    <x v="50"/>
    <d v="2025-02-21T00:00:00"/>
    <x v="1"/>
    <x v="0"/>
    <x v="4"/>
    <x v="0"/>
    <x v="2"/>
    <x v="3"/>
    <x v="7"/>
    <x v="1"/>
  </r>
  <r>
    <s v="TX501325"/>
    <x v="0"/>
    <x v="2"/>
    <n v="32.5"/>
    <n v="97.5"/>
    <x v="50"/>
    <d v="2025-02-21T00:00:00"/>
    <x v="1"/>
    <x v="3"/>
    <x v="2"/>
    <x v="0"/>
    <x v="22"/>
    <x v="3"/>
    <x v="7"/>
    <x v="1"/>
  </r>
  <r>
    <s v="TX501326"/>
    <x v="15"/>
    <x v="0"/>
    <n v="26.2"/>
    <n v="26.2"/>
    <x v="50"/>
    <d v="2025-02-22T00:00:00"/>
    <x v="1"/>
    <x v="2"/>
    <x v="0"/>
    <x v="0"/>
    <x v="55"/>
    <x v="1"/>
    <x v="7"/>
    <x v="1"/>
  </r>
  <r>
    <s v="TX501327"/>
    <x v="10"/>
    <x v="17"/>
    <n v="44"/>
    <n v="1320"/>
    <x v="50"/>
    <d v="2025-02-26T00:00:00"/>
    <x v="1"/>
    <x v="4"/>
    <x v="0"/>
    <x v="0"/>
    <x v="3"/>
    <x v="4"/>
    <x v="7"/>
    <x v="1"/>
  </r>
  <r>
    <s v="TX501328"/>
    <x v="7"/>
    <x v="12"/>
    <n v="65.599999999999994"/>
    <n v="262.39999999999998"/>
    <x v="50"/>
    <d v="2025-02-21T00:00:00"/>
    <x v="2"/>
    <x v="1"/>
    <x v="1"/>
    <x v="0"/>
    <x v="3"/>
    <x v="3"/>
    <x v="7"/>
    <x v="2"/>
  </r>
  <r>
    <s v="TX501329"/>
    <x v="5"/>
    <x v="4"/>
    <n v="32.6"/>
    <n v="391.20000000000005"/>
    <x v="50"/>
    <d v="2025-02-21T00:00:00"/>
    <x v="1"/>
    <x v="4"/>
    <x v="0"/>
    <x v="0"/>
    <x v="3"/>
    <x v="3"/>
    <x v="7"/>
    <x v="1"/>
  </r>
  <r>
    <s v="TX501330"/>
    <x v="16"/>
    <x v="1"/>
    <n v="88.7"/>
    <n v="177.4"/>
    <x v="50"/>
    <d v="2025-02-21T00:00:00"/>
    <x v="0"/>
    <x v="3"/>
    <x v="2"/>
    <x v="0"/>
    <x v="3"/>
    <x v="3"/>
    <x v="7"/>
    <x v="0"/>
  </r>
  <r>
    <s v="TX501331"/>
    <x v="4"/>
    <x v="1"/>
    <n v="21.3"/>
    <n v="42.6"/>
    <x v="50"/>
    <d v="2025-02-21T00:00:00"/>
    <x v="1"/>
    <x v="0"/>
    <x v="0"/>
    <x v="0"/>
    <x v="3"/>
    <x v="3"/>
    <x v="7"/>
    <x v="1"/>
  </r>
  <r>
    <s v="TX501332"/>
    <x v="4"/>
    <x v="13"/>
    <n v="50.6"/>
    <n v="303.60000000000002"/>
    <x v="50"/>
    <d v="2025-02-24T00:00:00"/>
    <x v="2"/>
    <x v="2"/>
    <x v="0"/>
    <x v="0"/>
    <x v="3"/>
    <x v="5"/>
    <x v="7"/>
    <x v="2"/>
  </r>
  <r>
    <s v="TX501333"/>
    <x v="9"/>
    <x v="38"/>
    <n v="86.9"/>
    <n v="1824.9"/>
    <x v="50"/>
    <d v="2025-02-23T00:00:00"/>
    <x v="2"/>
    <x v="0"/>
    <x v="1"/>
    <x v="0"/>
    <x v="3"/>
    <x v="2"/>
    <x v="7"/>
    <x v="2"/>
  </r>
  <r>
    <s v="TX501334"/>
    <x v="11"/>
    <x v="2"/>
    <n v="31.8"/>
    <n v="95.4"/>
    <x v="50"/>
    <d v="2025-02-22T00:00:00"/>
    <x v="1"/>
    <x v="0"/>
    <x v="2"/>
    <x v="0"/>
    <x v="3"/>
    <x v="1"/>
    <x v="7"/>
    <x v="1"/>
  </r>
  <r>
    <s v="TX501335"/>
    <x v="8"/>
    <x v="0"/>
    <n v="19"/>
    <n v="19"/>
    <x v="50"/>
    <d v="2025-02-21T00:00:00"/>
    <x v="2"/>
    <x v="0"/>
    <x v="2"/>
    <x v="0"/>
    <x v="3"/>
    <x v="3"/>
    <x v="7"/>
    <x v="2"/>
  </r>
  <r>
    <s v="TX501336"/>
    <x v="5"/>
    <x v="0"/>
    <n v="54.5"/>
    <n v="54.5"/>
    <x v="50"/>
    <d v="2025-02-22T00:00:00"/>
    <x v="1"/>
    <x v="0"/>
    <x v="0"/>
    <x v="0"/>
    <x v="3"/>
    <x v="1"/>
    <x v="7"/>
    <x v="1"/>
  </r>
  <r>
    <s v="TX501337"/>
    <x v="9"/>
    <x v="9"/>
    <n v="68.900000000000006"/>
    <n v="344.5"/>
    <x v="50"/>
    <d v="2025-02-22T00:00:00"/>
    <x v="1"/>
    <x v="4"/>
    <x v="1"/>
    <x v="0"/>
    <x v="3"/>
    <x v="1"/>
    <x v="7"/>
    <x v="1"/>
  </r>
  <r>
    <s v="TX501338"/>
    <x v="6"/>
    <x v="2"/>
    <n v="84"/>
    <n v="252"/>
    <x v="50"/>
    <d v="2025-02-21T00:00:00"/>
    <x v="1"/>
    <x v="1"/>
    <x v="4"/>
    <x v="0"/>
    <x v="16"/>
    <x v="3"/>
    <x v="7"/>
    <x v="1"/>
  </r>
  <r>
    <s v="TX501339"/>
    <x v="15"/>
    <x v="8"/>
    <n v="23.1"/>
    <n v="184.8"/>
    <x v="50"/>
    <d v="2025-02-25T00:00:00"/>
    <x v="1"/>
    <x v="0"/>
    <x v="2"/>
    <x v="0"/>
    <x v="23"/>
    <x v="0"/>
    <x v="7"/>
    <x v="1"/>
  </r>
  <r>
    <s v="TX501340"/>
    <x v="7"/>
    <x v="1"/>
    <n v="62.4"/>
    <n v="124.8"/>
    <x v="50"/>
    <d v="2025-02-21T00:00:00"/>
    <x v="2"/>
    <x v="0"/>
    <x v="1"/>
    <x v="0"/>
    <x v="6"/>
    <x v="3"/>
    <x v="7"/>
    <x v="2"/>
  </r>
  <r>
    <s v="TX501341"/>
    <x v="6"/>
    <x v="4"/>
    <n v="40.700000000000003"/>
    <n v="488.40000000000003"/>
    <x v="50"/>
    <d v="2025-02-22T00:00:00"/>
    <x v="1"/>
    <x v="1"/>
    <x v="2"/>
    <x v="0"/>
    <x v="6"/>
    <x v="1"/>
    <x v="7"/>
    <x v="1"/>
  </r>
  <r>
    <s v="TX501342"/>
    <x v="6"/>
    <x v="0"/>
    <n v="49.6"/>
    <n v="49.6"/>
    <x v="50"/>
    <d v="2025-02-23T00:00:00"/>
    <x v="1"/>
    <x v="2"/>
    <x v="0"/>
    <x v="0"/>
    <x v="7"/>
    <x v="2"/>
    <x v="7"/>
    <x v="1"/>
  </r>
  <r>
    <s v="TX501343"/>
    <x v="7"/>
    <x v="41"/>
    <n v="66.599999999999994"/>
    <n v="2996.9999999999995"/>
    <x v="50"/>
    <d v="2025-02-23T00:00:00"/>
    <x v="1"/>
    <x v="2"/>
    <x v="0"/>
    <x v="0"/>
    <x v="8"/>
    <x v="2"/>
    <x v="7"/>
    <x v="1"/>
  </r>
  <r>
    <s v="TX501344"/>
    <x v="8"/>
    <x v="2"/>
    <n v="26.4"/>
    <n v="79.199999999999989"/>
    <x v="50"/>
    <d v="2025-02-21T00:00:00"/>
    <x v="2"/>
    <x v="1"/>
    <x v="1"/>
    <x v="0"/>
    <x v="8"/>
    <x v="3"/>
    <x v="7"/>
    <x v="2"/>
  </r>
  <r>
    <s v="TX501345"/>
    <x v="0"/>
    <x v="1"/>
    <n v="17.2"/>
    <n v="34.4"/>
    <x v="50"/>
    <d v="2025-02-23T00:00:00"/>
    <x v="1"/>
    <x v="2"/>
    <x v="1"/>
    <x v="0"/>
    <x v="8"/>
    <x v="2"/>
    <x v="7"/>
    <x v="1"/>
  </r>
  <r>
    <s v="TX501346"/>
    <x v="5"/>
    <x v="8"/>
    <n v="58.1"/>
    <n v="464.8"/>
    <x v="50"/>
    <d v="2025-02-23T00:00:00"/>
    <x v="2"/>
    <x v="4"/>
    <x v="0"/>
    <x v="0"/>
    <x v="8"/>
    <x v="2"/>
    <x v="7"/>
    <x v="2"/>
  </r>
  <r>
    <s v="TX501347"/>
    <x v="15"/>
    <x v="12"/>
    <n v="31.5"/>
    <n v="126"/>
    <x v="50"/>
    <d v="2025-02-23T00:00:00"/>
    <x v="2"/>
    <x v="4"/>
    <x v="4"/>
    <x v="0"/>
    <x v="8"/>
    <x v="2"/>
    <x v="7"/>
    <x v="2"/>
  </r>
  <r>
    <s v="TX501348"/>
    <x v="0"/>
    <x v="0"/>
    <n v="27.1"/>
    <n v="27.1"/>
    <x v="50"/>
    <d v="2025-02-22T00:00:00"/>
    <x v="2"/>
    <x v="0"/>
    <x v="1"/>
    <x v="0"/>
    <x v="17"/>
    <x v="1"/>
    <x v="7"/>
    <x v="2"/>
  </r>
  <r>
    <s v="TX501349"/>
    <x v="18"/>
    <x v="12"/>
    <n v="28.5"/>
    <n v="114"/>
    <x v="50"/>
    <d v="2025-02-22T00:00:00"/>
    <x v="1"/>
    <x v="1"/>
    <x v="2"/>
    <x v="0"/>
    <x v="9"/>
    <x v="1"/>
    <x v="7"/>
    <x v="1"/>
  </r>
  <r>
    <s v="TX501350"/>
    <x v="10"/>
    <x v="0"/>
    <n v="40.5"/>
    <n v="40.5"/>
    <x v="51"/>
    <d v="2025-02-23T00:00:00"/>
    <x v="3"/>
    <x v="2"/>
    <x v="0"/>
    <x v="0"/>
    <x v="9"/>
    <x v="1"/>
    <x v="7"/>
    <x v="3"/>
  </r>
  <r>
    <s v="TX501351"/>
    <x v="2"/>
    <x v="2"/>
    <n v="77.900000000000006"/>
    <n v="233.70000000000002"/>
    <x v="51"/>
    <d v="2025-02-25T00:00:00"/>
    <x v="2"/>
    <x v="1"/>
    <x v="2"/>
    <x v="0"/>
    <x v="19"/>
    <x v="5"/>
    <x v="7"/>
    <x v="2"/>
  </r>
  <r>
    <s v="TX501352"/>
    <x v="18"/>
    <x v="12"/>
    <n v="37.1"/>
    <n v="148.4"/>
    <x v="51"/>
    <d v="2025-02-23T00:00:00"/>
    <x v="1"/>
    <x v="4"/>
    <x v="2"/>
    <x v="0"/>
    <x v="19"/>
    <x v="1"/>
    <x v="7"/>
    <x v="1"/>
  </r>
  <r>
    <s v="TX501353"/>
    <x v="16"/>
    <x v="2"/>
    <n v="51.6"/>
    <n v="154.80000000000001"/>
    <x v="51"/>
    <d v="2025-03-01T00:00:00"/>
    <x v="2"/>
    <x v="0"/>
    <x v="4"/>
    <x v="0"/>
    <x v="19"/>
    <x v="9"/>
    <x v="7"/>
    <x v="2"/>
  </r>
  <r>
    <s v="TX501354"/>
    <x v="7"/>
    <x v="2"/>
    <n v="98"/>
    <n v="294"/>
    <x v="51"/>
    <d v="2025-02-22T00:00:00"/>
    <x v="1"/>
    <x v="1"/>
    <x v="1"/>
    <x v="0"/>
    <x v="19"/>
    <x v="3"/>
    <x v="7"/>
    <x v="1"/>
  </r>
  <r>
    <s v="TX501355"/>
    <x v="6"/>
    <x v="3"/>
    <n v="41.4"/>
    <n v="289.8"/>
    <x v="51"/>
    <d v="2025-02-22T00:00:00"/>
    <x v="1"/>
    <x v="1"/>
    <x v="0"/>
    <x v="0"/>
    <x v="20"/>
    <x v="3"/>
    <x v="7"/>
    <x v="1"/>
  </r>
  <r>
    <s v="TX501356"/>
    <x v="11"/>
    <x v="8"/>
    <n v="34"/>
    <n v="272"/>
    <x v="51"/>
    <d v="2025-02-26T00:00:00"/>
    <x v="2"/>
    <x v="0"/>
    <x v="2"/>
    <x v="0"/>
    <x v="52"/>
    <x v="0"/>
    <x v="7"/>
    <x v="2"/>
  </r>
  <r>
    <s v="TX501357"/>
    <x v="6"/>
    <x v="0"/>
    <n v="66.3"/>
    <n v="66.3"/>
    <x v="51"/>
    <d v="2025-02-22T00:00:00"/>
    <x v="2"/>
    <x v="1"/>
    <x v="0"/>
    <x v="0"/>
    <x v="13"/>
    <x v="3"/>
    <x v="7"/>
    <x v="2"/>
  </r>
  <r>
    <s v="TX501358"/>
    <x v="7"/>
    <x v="0"/>
    <n v="33.5"/>
    <n v="33.5"/>
    <x v="51"/>
    <d v="2025-02-25T00:00:00"/>
    <x v="1"/>
    <x v="2"/>
    <x v="0"/>
    <x v="0"/>
    <x v="13"/>
    <x v="5"/>
    <x v="7"/>
    <x v="1"/>
  </r>
  <r>
    <s v="TX501359"/>
    <x v="12"/>
    <x v="1"/>
    <n v="70.8"/>
    <n v="141.6"/>
    <x v="51"/>
    <d v="2025-02-22T00:00:00"/>
    <x v="0"/>
    <x v="0"/>
    <x v="0"/>
    <x v="0"/>
    <x v="28"/>
    <x v="3"/>
    <x v="7"/>
    <x v="0"/>
  </r>
  <r>
    <s v="TX501360"/>
    <x v="6"/>
    <x v="1"/>
    <n v="127.6"/>
    <n v="255.2"/>
    <x v="51"/>
    <d v="2025-02-22T00:00:00"/>
    <x v="1"/>
    <x v="0"/>
    <x v="0"/>
    <x v="0"/>
    <x v="21"/>
    <x v="3"/>
    <x v="7"/>
    <x v="1"/>
  </r>
  <r>
    <s v="TX501361"/>
    <x v="6"/>
    <x v="2"/>
    <n v="95.9"/>
    <n v="287.70000000000005"/>
    <x v="51"/>
    <d v="2025-02-22T00:00:00"/>
    <x v="2"/>
    <x v="1"/>
    <x v="1"/>
    <x v="0"/>
    <x v="21"/>
    <x v="3"/>
    <x v="7"/>
    <x v="2"/>
  </r>
  <r>
    <s v="TX501362"/>
    <x v="2"/>
    <x v="1"/>
    <n v="78.099999999999994"/>
    <n v="156.19999999999999"/>
    <x v="51"/>
    <d v="2025-02-22T00:00:00"/>
    <x v="1"/>
    <x v="0"/>
    <x v="0"/>
    <x v="0"/>
    <x v="1"/>
    <x v="3"/>
    <x v="7"/>
    <x v="1"/>
  </r>
  <r>
    <s v="TX501363"/>
    <x v="13"/>
    <x v="1"/>
    <n v="43.2"/>
    <n v="86.4"/>
    <x v="51"/>
    <d v="2025-02-22T00:00:00"/>
    <x v="0"/>
    <x v="1"/>
    <x v="1"/>
    <x v="0"/>
    <x v="1"/>
    <x v="3"/>
    <x v="7"/>
    <x v="0"/>
  </r>
  <r>
    <s v="TX501364"/>
    <x v="8"/>
    <x v="12"/>
    <n v="28.4"/>
    <n v="113.6"/>
    <x v="51"/>
    <d v="2025-02-27T00:00:00"/>
    <x v="1"/>
    <x v="2"/>
    <x v="0"/>
    <x v="0"/>
    <x v="3"/>
    <x v="4"/>
    <x v="7"/>
    <x v="1"/>
  </r>
  <r>
    <s v="TX501365"/>
    <x v="2"/>
    <x v="1"/>
    <n v="81.7"/>
    <n v="163.4"/>
    <x v="51"/>
    <d v="2025-02-21T00:00:00"/>
    <x v="1"/>
    <x v="0"/>
    <x v="0"/>
    <x v="0"/>
    <x v="3"/>
    <x v="7"/>
    <x v="7"/>
    <x v="1"/>
  </r>
  <r>
    <s v="TX501366"/>
    <x v="18"/>
    <x v="1"/>
    <n v="56.7"/>
    <n v="113.4"/>
    <x v="51"/>
    <d v="2025-02-23T00:00:00"/>
    <x v="0"/>
    <x v="0"/>
    <x v="2"/>
    <x v="0"/>
    <x v="3"/>
    <x v="1"/>
    <x v="7"/>
    <x v="0"/>
  </r>
  <r>
    <s v="TX501367"/>
    <x v="3"/>
    <x v="12"/>
    <n v="66.5"/>
    <n v="266"/>
    <x v="51"/>
    <d v="2025-02-21T00:00:00"/>
    <x v="2"/>
    <x v="0"/>
    <x v="2"/>
    <x v="0"/>
    <x v="3"/>
    <x v="7"/>
    <x v="7"/>
    <x v="2"/>
  </r>
  <r>
    <s v="TX501368"/>
    <x v="1"/>
    <x v="1"/>
    <n v="105.3"/>
    <n v="210.6"/>
    <x v="51"/>
    <d v="2025-02-25T00:00:00"/>
    <x v="1"/>
    <x v="0"/>
    <x v="1"/>
    <x v="0"/>
    <x v="3"/>
    <x v="5"/>
    <x v="7"/>
    <x v="1"/>
  </r>
  <r>
    <s v="TX501369"/>
    <x v="10"/>
    <x v="9"/>
    <n v="33.799999999999997"/>
    <n v="169"/>
    <x v="51"/>
    <d v="2025-02-26T00:00:00"/>
    <x v="1"/>
    <x v="0"/>
    <x v="0"/>
    <x v="0"/>
    <x v="3"/>
    <x v="0"/>
    <x v="7"/>
    <x v="1"/>
  </r>
  <r>
    <s v="TX501370"/>
    <x v="6"/>
    <x v="2"/>
    <n v="63.4"/>
    <n v="190.2"/>
    <x v="51"/>
    <d v="2025-02-26T00:00:00"/>
    <x v="1"/>
    <x v="3"/>
    <x v="1"/>
    <x v="0"/>
    <x v="24"/>
    <x v="0"/>
    <x v="7"/>
    <x v="1"/>
  </r>
  <r>
    <s v="TX501371"/>
    <x v="6"/>
    <x v="2"/>
    <n v="49"/>
    <n v="147"/>
    <x v="51"/>
    <d v="2025-02-25T00:00:00"/>
    <x v="1"/>
    <x v="3"/>
    <x v="0"/>
    <x v="0"/>
    <x v="49"/>
    <x v="5"/>
    <x v="7"/>
    <x v="1"/>
  </r>
  <r>
    <s v="TX501372"/>
    <x v="1"/>
    <x v="1"/>
    <n v="40"/>
    <n v="80"/>
    <x v="51"/>
    <d v="2025-02-22T00:00:00"/>
    <x v="2"/>
    <x v="4"/>
    <x v="1"/>
    <x v="0"/>
    <x v="23"/>
    <x v="3"/>
    <x v="7"/>
    <x v="2"/>
  </r>
  <r>
    <s v="TX501373"/>
    <x v="6"/>
    <x v="12"/>
    <n v="86.3"/>
    <n v="345.2"/>
    <x v="51"/>
    <d v="2025-02-22T00:00:00"/>
    <x v="3"/>
    <x v="0"/>
    <x v="0"/>
    <x v="0"/>
    <x v="6"/>
    <x v="3"/>
    <x v="7"/>
    <x v="3"/>
  </r>
  <r>
    <s v="TX501374"/>
    <x v="6"/>
    <x v="0"/>
    <n v="51.6"/>
    <n v="51.6"/>
    <x v="51"/>
    <d v="2025-02-23T00:00:00"/>
    <x v="2"/>
    <x v="2"/>
    <x v="2"/>
    <x v="0"/>
    <x v="6"/>
    <x v="1"/>
    <x v="7"/>
    <x v="2"/>
  </r>
  <r>
    <s v="TX501375"/>
    <x v="10"/>
    <x v="2"/>
    <n v="26.7"/>
    <n v="80.099999999999994"/>
    <x v="51"/>
    <d v="2025-02-26T00:00:00"/>
    <x v="2"/>
    <x v="2"/>
    <x v="1"/>
    <x v="0"/>
    <x v="6"/>
    <x v="0"/>
    <x v="7"/>
    <x v="2"/>
  </r>
  <r>
    <s v="TX501376"/>
    <x v="18"/>
    <x v="1"/>
    <n v="68.099999999999994"/>
    <n v="136.19999999999999"/>
    <x v="51"/>
    <d v="2025-02-22T00:00:00"/>
    <x v="1"/>
    <x v="0"/>
    <x v="1"/>
    <x v="0"/>
    <x v="6"/>
    <x v="3"/>
    <x v="7"/>
    <x v="1"/>
  </r>
  <r>
    <s v="TX501377"/>
    <x v="1"/>
    <x v="0"/>
    <n v="81.7"/>
    <n v="81.7"/>
    <x v="51"/>
    <d v="2025-02-22T00:00:00"/>
    <x v="1"/>
    <x v="0"/>
    <x v="0"/>
    <x v="0"/>
    <x v="7"/>
    <x v="3"/>
    <x v="7"/>
    <x v="1"/>
  </r>
  <r>
    <s v="TX501378"/>
    <x v="18"/>
    <x v="7"/>
    <n v="25.1"/>
    <n v="251"/>
    <x v="51"/>
    <d v="2025-02-24T00:00:00"/>
    <x v="1"/>
    <x v="3"/>
    <x v="1"/>
    <x v="0"/>
    <x v="8"/>
    <x v="2"/>
    <x v="7"/>
    <x v="1"/>
  </r>
  <r>
    <s v="TX501379"/>
    <x v="8"/>
    <x v="0"/>
    <n v="20.2"/>
    <n v="20.2"/>
    <x v="51"/>
    <d v="2025-02-25T00:00:00"/>
    <x v="2"/>
    <x v="0"/>
    <x v="0"/>
    <x v="0"/>
    <x v="8"/>
    <x v="5"/>
    <x v="7"/>
    <x v="2"/>
  </r>
  <r>
    <s v="TX501380"/>
    <x v="8"/>
    <x v="2"/>
    <n v="15.4"/>
    <n v="46.2"/>
    <x v="51"/>
    <d v="2025-02-22T00:00:00"/>
    <x v="1"/>
    <x v="1"/>
    <x v="2"/>
    <x v="0"/>
    <x v="8"/>
    <x v="3"/>
    <x v="7"/>
    <x v="1"/>
  </r>
  <r>
    <s v="TX501381"/>
    <x v="10"/>
    <x v="0"/>
    <n v="59.2"/>
    <n v="59.2"/>
    <x v="51"/>
    <d v="2025-02-22T00:00:00"/>
    <x v="1"/>
    <x v="2"/>
    <x v="2"/>
    <x v="0"/>
    <x v="17"/>
    <x v="3"/>
    <x v="7"/>
    <x v="1"/>
  </r>
  <r>
    <s v="TX501382"/>
    <x v="0"/>
    <x v="0"/>
    <n v="46.7"/>
    <n v="46.7"/>
    <x v="51"/>
    <d v="2025-02-26T00:00:00"/>
    <x v="1"/>
    <x v="0"/>
    <x v="0"/>
    <x v="0"/>
    <x v="17"/>
    <x v="0"/>
    <x v="7"/>
    <x v="1"/>
  </r>
  <r>
    <s v="TX501383"/>
    <x v="6"/>
    <x v="20"/>
    <n v="41.6"/>
    <n v="624"/>
    <x v="51"/>
    <d v="2025-02-23T00:00:00"/>
    <x v="1"/>
    <x v="1"/>
    <x v="0"/>
    <x v="0"/>
    <x v="26"/>
    <x v="1"/>
    <x v="7"/>
    <x v="1"/>
  </r>
  <r>
    <s v="TX501384"/>
    <x v="8"/>
    <x v="1"/>
    <n v="19.2"/>
    <n v="38.4"/>
    <x v="51"/>
    <d v="2025-02-24T00:00:00"/>
    <x v="1"/>
    <x v="4"/>
    <x v="2"/>
    <x v="0"/>
    <x v="9"/>
    <x v="2"/>
    <x v="7"/>
    <x v="1"/>
  </r>
  <r>
    <s v="TX501385"/>
    <x v="17"/>
    <x v="3"/>
    <n v="41.8"/>
    <n v="292.59999999999997"/>
    <x v="51"/>
    <d v="2025-02-23T00:00:00"/>
    <x v="2"/>
    <x v="2"/>
    <x v="0"/>
    <x v="0"/>
    <x v="11"/>
    <x v="1"/>
    <x v="7"/>
    <x v="2"/>
  </r>
  <r>
    <s v="TX501386"/>
    <x v="8"/>
    <x v="13"/>
    <n v="37.4"/>
    <n v="224.39999999999998"/>
    <x v="51"/>
    <d v="2025-02-23T00:00:00"/>
    <x v="1"/>
    <x v="0"/>
    <x v="2"/>
    <x v="0"/>
    <x v="11"/>
    <x v="1"/>
    <x v="7"/>
    <x v="1"/>
  </r>
  <r>
    <s v="TX501387"/>
    <x v="10"/>
    <x v="2"/>
    <n v="60.2"/>
    <n v="180.60000000000002"/>
    <x v="51"/>
    <d v="2025-02-24T00:00:00"/>
    <x v="1"/>
    <x v="4"/>
    <x v="1"/>
    <x v="0"/>
    <x v="38"/>
    <x v="2"/>
    <x v="7"/>
    <x v="1"/>
  </r>
  <r>
    <s v="TX501388"/>
    <x v="9"/>
    <x v="1"/>
    <n v="91.5"/>
    <n v="183"/>
    <x v="52"/>
    <d v="2025-02-23T00:00:00"/>
    <x v="1"/>
    <x v="0"/>
    <x v="0"/>
    <x v="0"/>
    <x v="13"/>
    <x v="3"/>
    <x v="7"/>
    <x v="1"/>
  </r>
  <r>
    <s v="TX501389"/>
    <x v="3"/>
    <x v="9"/>
    <n v="55.7"/>
    <n v="278.5"/>
    <x v="52"/>
    <d v="2025-02-24T00:00:00"/>
    <x v="0"/>
    <x v="1"/>
    <x v="2"/>
    <x v="0"/>
    <x v="21"/>
    <x v="1"/>
    <x v="7"/>
    <x v="0"/>
  </r>
  <r>
    <s v="TX501390"/>
    <x v="7"/>
    <x v="1"/>
    <n v="76.7"/>
    <n v="153.4"/>
    <x v="52"/>
    <d v="2025-02-24T00:00:00"/>
    <x v="1"/>
    <x v="0"/>
    <x v="1"/>
    <x v="0"/>
    <x v="21"/>
    <x v="1"/>
    <x v="7"/>
    <x v="1"/>
  </r>
  <r>
    <s v="TX501391"/>
    <x v="8"/>
    <x v="38"/>
    <n v="28.2"/>
    <n v="592.19999999999993"/>
    <x v="52"/>
    <d v="2025-02-27T00:00:00"/>
    <x v="1"/>
    <x v="2"/>
    <x v="0"/>
    <x v="0"/>
    <x v="1"/>
    <x v="0"/>
    <x v="7"/>
    <x v="1"/>
  </r>
  <r>
    <s v="TX501392"/>
    <x v="7"/>
    <x v="9"/>
    <n v="93.2"/>
    <n v="466"/>
    <x v="52"/>
    <d v="2025-02-24T00:00:00"/>
    <x v="2"/>
    <x v="4"/>
    <x v="2"/>
    <x v="0"/>
    <x v="1"/>
    <x v="1"/>
    <x v="7"/>
    <x v="2"/>
  </r>
  <r>
    <s v="TX501393"/>
    <x v="17"/>
    <x v="0"/>
    <n v="33.299999999999997"/>
    <n v="33.299999999999997"/>
    <x v="52"/>
    <d v="2025-02-23T00:00:00"/>
    <x v="1"/>
    <x v="4"/>
    <x v="0"/>
    <x v="0"/>
    <x v="2"/>
    <x v="3"/>
    <x v="7"/>
    <x v="1"/>
  </r>
  <r>
    <s v="TX501394"/>
    <x v="10"/>
    <x v="1"/>
    <n v="39.1"/>
    <n v="78.2"/>
    <x v="52"/>
    <d v="2025-02-25T00:00:00"/>
    <x v="1"/>
    <x v="0"/>
    <x v="0"/>
    <x v="0"/>
    <x v="44"/>
    <x v="2"/>
    <x v="7"/>
    <x v="1"/>
  </r>
  <r>
    <s v="TX501395"/>
    <x v="7"/>
    <x v="4"/>
    <n v="45.3"/>
    <n v="543.59999999999991"/>
    <x v="52"/>
    <d v="2025-02-23T00:00:00"/>
    <x v="1"/>
    <x v="2"/>
    <x v="0"/>
    <x v="0"/>
    <x v="33"/>
    <x v="3"/>
    <x v="7"/>
    <x v="1"/>
  </r>
  <r>
    <s v="TX501396"/>
    <x v="9"/>
    <x v="3"/>
    <n v="33.9"/>
    <n v="237.29999999999998"/>
    <x v="52"/>
    <d v="2025-02-23T00:00:00"/>
    <x v="1"/>
    <x v="4"/>
    <x v="0"/>
    <x v="0"/>
    <x v="33"/>
    <x v="3"/>
    <x v="7"/>
    <x v="1"/>
  </r>
  <r>
    <s v="TX501397"/>
    <x v="8"/>
    <x v="2"/>
    <n v="19"/>
    <n v="57"/>
    <x v="52"/>
    <d v="2025-02-23T00:00:00"/>
    <x v="1"/>
    <x v="0"/>
    <x v="2"/>
    <x v="0"/>
    <x v="15"/>
    <x v="3"/>
    <x v="7"/>
    <x v="1"/>
  </r>
  <r>
    <s v="TX501398"/>
    <x v="4"/>
    <x v="0"/>
    <n v="41.9"/>
    <n v="41.9"/>
    <x v="52"/>
    <d v="2025-02-25T00:00:00"/>
    <x v="2"/>
    <x v="2"/>
    <x v="0"/>
    <x v="0"/>
    <x v="22"/>
    <x v="2"/>
    <x v="7"/>
    <x v="2"/>
  </r>
  <r>
    <s v="TX501399"/>
    <x v="1"/>
    <x v="12"/>
    <n v="37.5"/>
    <n v="150"/>
    <x v="52"/>
    <d v="2025-02-22T00:00:00"/>
    <x v="2"/>
    <x v="0"/>
    <x v="0"/>
    <x v="0"/>
    <x v="3"/>
    <x v="7"/>
    <x v="7"/>
    <x v="2"/>
  </r>
  <r>
    <s v="TX501400"/>
    <x v="0"/>
    <x v="1"/>
    <n v="40.799999999999997"/>
    <n v="81.599999999999994"/>
    <x v="52"/>
    <d v="2025-02-25T00:00:00"/>
    <x v="1"/>
    <x v="0"/>
    <x v="0"/>
    <x v="0"/>
    <x v="3"/>
    <x v="2"/>
    <x v="7"/>
    <x v="1"/>
  </r>
  <r>
    <s v="TX501401"/>
    <x v="0"/>
    <x v="12"/>
    <n v="23.1"/>
    <n v="92.4"/>
    <x v="52"/>
    <d v="2025-02-23T00:00:00"/>
    <x v="2"/>
    <x v="4"/>
    <x v="0"/>
    <x v="0"/>
    <x v="3"/>
    <x v="3"/>
    <x v="7"/>
    <x v="2"/>
  </r>
  <r>
    <s v="TX501402"/>
    <x v="8"/>
    <x v="9"/>
    <n v="39.299999999999997"/>
    <n v="196.5"/>
    <x v="52"/>
    <d v="2025-02-23T00:00:00"/>
    <x v="2"/>
    <x v="0"/>
    <x v="0"/>
    <x v="0"/>
    <x v="3"/>
    <x v="3"/>
    <x v="7"/>
    <x v="2"/>
  </r>
  <r>
    <s v="TX501403"/>
    <x v="2"/>
    <x v="12"/>
    <n v="85.2"/>
    <n v="340.8"/>
    <x v="52"/>
    <d v="2025-02-27T00:00:00"/>
    <x v="1"/>
    <x v="2"/>
    <x v="0"/>
    <x v="0"/>
    <x v="3"/>
    <x v="0"/>
    <x v="7"/>
    <x v="1"/>
  </r>
  <r>
    <s v="TX501404"/>
    <x v="8"/>
    <x v="13"/>
    <n v="16"/>
    <n v="96"/>
    <x v="52"/>
    <d v="2025-02-25T00:00:00"/>
    <x v="1"/>
    <x v="1"/>
    <x v="0"/>
    <x v="0"/>
    <x v="3"/>
    <x v="2"/>
    <x v="7"/>
    <x v="1"/>
  </r>
  <r>
    <s v="TX501405"/>
    <x v="1"/>
    <x v="1"/>
    <n v="33.799999999999997"/>
    <n v="67.599999999999994"/>
    <x v="52"/>
    <d v="2025-02-26T00:00:00"/>
    <x v="2"/>
    <x v="1"/>
    <x v="0"/>
    <x v="0"/>
    <x v="3"/>
    <x v="5"/>
    <x v="7"/>
    <x v="2"/>
  </r>
  <r>
    <s v="TX501406"/>
    <x v="3"/>
    <x v="0"/>
    <n v="70"/>
    <n v="70"/>
    <x v="52"/>
    <d v="2025-02-23T00:00:00"/>
    <x v="2"/>
    <x v="0"/>
    <x v="0"/>
    <x v="0"/>
    <x v="3"/>
    <x v="3"/>
    <x v="7"/>
    <x v="2"/>
  </r>
  <r>
    <s v="TX501407"/>
    <x v="9"/>
    <x v="0"/>
    <n v="88"/>
    <n v="88"/>
    <x v="52"/>
    <d v="2025-02-27T00:00:00"/>
    <x v="2"/>
    <x v="3"/>
    <x v="0"/>
    <x v="0"/>
    <x v="3"/>
    <x v="0"/>
    <x v="7"/>
    <x v="2"/>
  </r>
  <r>
    <s v="TX501408"/>
    <x v="2"/>
    <x v="2"/>
    <n v="74.099999999999994"/>
    <n v="222.29999999999998"/>
    <x v="52"/>
    <d v="2025-02-22T00:00:00"/>
    <x v="1"/>
    <x v="4"/>
    <x v="1"/>
    <x v="0"/>
    <x v="3"/>
    <x v="7"/>
    <x v="7"/>
    <x v="1"/>
  </r>
  <r>
    <s v="TX501409"/>
    <x v="2"/>
    <x v="0"/>
    <n v="161.9"/>
    <n v="161.9"/>
    <x v="52"/>
    <d v="2025-02-24T00:00:00"/>
    <x v="1"/>
    <x v="2"/>
    <x v="0"/>
    <x v="0"/>
    <x v="3"/>
    <x v="1"/>
    <x v="7"/>
    <x v="1"/>
  </r>
  <r>
    <s v="TX501410"/>
    <x v="4"/>
    <x v="1"/>
    <n v="44"/>
    <n v="88"/>
    <x v="52"/>
    <d v="2025-02-23T00:00:00"/>
    <x v="3"/>
    <x v="4"/>
    <x v="1"/>
    <x v="0"/>
    <x v="3"/>
    <x v="3"/>
    <x v="7"/>
    <x v="3"/>
  </r>
  <r>
    <s v="TX501411"/>
    <x v="11"/>
    <x v="0"/>
    <n v="32.1"/>
    <n v="32.1"/>
    <x v="52"/>
    <d v="2025-02-22T00:00:00"/>
    <x v="2"/>
    <x v="3"/>
    <x v="3"/>
    <x v="0"/>
    <x v="3"/>
    <x v="7"/>
    <x v="7"/>
    <x v="2"/>
  </r>
  <r>
    <s v="TX501412"/>
    <x v="2"/>
    <x v="12"/>
    <n v="104.8"/>
    <n v="419.2"/>
    <x v="53"/>
    <d v="2025-02-25T00:00:00"/>
    <x v="3"/>
    <x v="0"/>
    <x v="0"/>
    <x v="0"/>
    <x v="3"/>
    <x v="1"/>
    <x v="8"/>
    <x v="3"/>
  </r>
  <r>
    <s v="TX501413"/>
    <x v="9"/>
    <x v="13"/>
    <n v="67.400000000000006"/>
    <n v="404.40000000000003"/>
    <x v="53"/>
    <d v="2025-02-24T00:00:00"/>
    <x v="2"/>
    <x v="3"/>
    <x v="0"/>
    <x v="0"/>
    <x v="3"/>
    <x v="3"/>
    <x v="8"/>
    <x v="2"/>
  </r>
  <r>
    <s v="TX501414"/>
    <x v="6"/>
    <x v="1"/>
    <n v="115.2"/>
    <n v="230.4"/>
    <x v="53"/>
    <d v="2025-02-24T00:00:00"/>
    <x v="2"/>
    <x v="1"/>
    <x v="0"/>
    <x v="0"/>
    <x v="4"/>
    <x v="3"/>
    <x v="8"/>
    <x v="2"/>
  </r>
  <r>
    <s v="TX501415"/>
    <x v="8"/>
    <x v="19"/>
    <n v="15.5"/>
    <n v="449.5"/>
    <x v="53"/>
    <d v="2025-02-25T00:00:00"/>
    <x v="2"/>
    <x v="0"/>
    <x v="1"/>
    <x v="0"/>
    <x v="23"/>
    <x v="1"/>
    <x v="8"/>
    <x v="2"/>
  </r>
  <r>
    <s v="TX501416"/>
    <x v="6"/>
    <x v="5"/>
    <n v="66.400000000000006"/>
    <n v="730.40000000000009"/>
    <x v="53"/>
    <d v="2025-02-25T00:00:00"/>
    <x v="2"/>
    <x v="0"/>
    <x v="0"/>
    <x v="0"/>
    <x v="6"/>
    <x v="1"/>
    <x v="8"/>
    <x v="2"/>
  </r>
  <r>
    <s v="TX501417"/>
    <x v="9"/>
    <x v="4"/>
    <n v="68.099999999999994"/>
    <n v="817.19999999999993"/>
    <x v="53"/>
    <d v="2025-02-24T00:00:00"/>
    <x v="2"/>
    <x v="2"/>
    <x v="0"/>
    <x v="0"/>
    <x v="8"/>
    <x v="3"/>
    <x v="8"/>
    <x v="2"/>
  </r>
  <r>
    <s v="TX501418"/>
    <x v="8"/>
    <x v="9"/>
    <n v="32.5"/>
    <n v="162.5"/>
    <x v="53"/>
    <d v="2025-02-27T00:00:00"/>
    <x v="1"/>
    <x v="2"/>
    <x v="1"/>
    <x v="0"/>
    <x v="8"/>
    <x v="5"/>
    <x v="8"/>
    <x v="1"/>
  </r>
  <r>
    <s v="TX501419"/>
    <x v="15"/>
    <x v="2"/>
    <n v="61.2"/>
    <n v="183.60000000000002"/>
    <x v="53"/>
    <d v="2025-02-25T00:00:00"/>
    <x v="2"/>
    <x v="1"/>
    <x v="1"/>
    <x v="0"/>
    <x v="8"/>
    <x v="1"/>
    <x v="8"/>
    <x v="2"/>
  </r>
  <r>
    <s v="TX501420"/>
    <x v="9"/>
    <x v="1"/>
    <n v="54.2"/>
    <n v="108.4"/>
    <x v="53"/>
    <d v="2025-02-24T00:00:00"/>
    <x v="2"/>
    <x v="1"/>
    <x v="0"/>
    <x v="0"/>
    <x v="8"/>
    <x v="3"/>
    <x v="8"/>
    <x v="2"/>
  </r>
  <r>
    <s v="TX501421"/>
    <x v="11"/>
    <x v="8"/>
    <n v="28.7"/>
    <n v="229.6"/>
    <x v="53"/>
    <d v="2025-02-25T00:00:00"/>
    <x v="1"/>
    <x v="1"/>
    <x v="0"/>
    <x v="0"/>
    <x v="9"/>
    <x v="1"/>
    <x v="8"/>
    <x v="1"/>
  </r>
  <r>
    <s v="TX501422"/>
    <x v="12"/>
    <x v="13"/>
    <n v="38.200000000000003"/>
    <n v="229.20000000000002"/>
    <x v="53"/>
    <d v="2025-02-27T00:00:00"/>
    <x v="2"/>
    <x v="0"/>
    <x v="1"/>
    <x v="0"/>
    <x v="9"/>
    <x v="5"/>
    <x v="8"/>
    <x v="2"/>
  </r>
  <r>
    <s v="TX501423"/>
    <x v="8"/>
    <x v="4"/>
    <n v="17.600000000000001"/>
    <n v="211.20000000000002"/>
    <x v="53"/>
    <d v="2025-02-24T00:00:00"/>
    <x v="2"/>
    <x v="2"/>
    <x v="1"/>
    <x v="0"/>
    <x v="9"/>
    <x v="3"/>
    <x v="8"/>
    <x v="2"/>
  </r>
  <r>
    <s v="TX501424"/>
    <x v="10"/>
    <x v="2"/>
    <n v="74.599999999999994"/>
    <n v="223.79999999999998"/>
    <x v="53"/>
    <d v="2025-02-23T00:00:00"/>
    <x v="2"/>
    <x v="2"/>
    <x v="0"/>
    <x v="0"/>
    <x v="11"/>
    <x v="7"/>
    <x v="8"/>
    <x v="2"/>
  </r>
  <r>
    <s v="TX501425"/>
    <x v="16"/>
    <x v="20"/>
    <n v="72.599999999999994"/>
    <n v="1089"/>
    <x v="53"/>
    <d v="2025-02-23T00:00:00"/>
    <x v="0"/>
    <x v="1"/>
    <x v="1"/>
    <x v="0"/>
    <x v="11"/>
    <x v="7"/>
    <x v="8"/>
    <x v="0"/>
  </r>
  <r>
    <s v="TX501426"/>
    <x v="7"/>
    <x v="0"/>
    <n v="62.3"/>
    <n v="62.3"/>
    <x v="53"/>
    <d v="2025-02-24T00:00:00"/>
    <x v="2"/>
    <x v="1"/>
    <x v="0"/>
    <x v="0"/>
    <x v="11"/>
    <x v="3"/>
    <x v="8"/>
    <x v="2"/>
  </r>
  <r>
    <s v="TX501427"/>
    <x v="3"/>
    <x v="2"/>
    <n v="33.799999999999997"/>
    <n v="101.39999999999999"/>
    <x v="53"/>
    <d v="2025-02-25T00:00:00"/>
    <x v="1"/>
    <x v="0"/>
    <x v="2"/>
    <x v="0"/>
    <x v="20"/>
    <x v="1"/>
    <x v="8"/>
    <x v="1"/>
  </r>
  <r>
    <s v="TX501428"/>
    <x v="9"/>
    <x v="0"/>
    <n v="85.7"/>
    <n v="85.7"/>
    <x v="53"/>
    <d v="2025-02-26T00:00:00"/>
    <x v="1"/>
    <x v="3"/>
    <x v="1"/>
    <x v="0"/>
    <x v="21"/>
    <x v="2"/>
    <x v="8"/>
    <x v="1"/>
  </r>
  <r>
    <s v="TX501429"/>
    <x v="6"/>
    <x v="1"/>
    <n v="92.1"/>
    <n v="184.2"/>
    <x v="53"/>
    <d v="2025-02-25T00:00:00"/>
    <x v="1"/>
    <x v="1"/>
    <x v="0"/>
    <x v="0"/>
    <x v="21"/>
    <x v="1"/>
    <x v="8"/>
    <x v="1"/>
  </r>
  <r>
    <s v="TX501430"/>
    <x v="16"/>
    <x v="2"/>
    <n v="65.099999999999994"/>
    <n v="195.29999999999998"/>
    <x v="53"/>
    <d v="2025-02-26T00:00:00"/>
    <x v="1"/>
    <x v="0"/>
    <x v="0"/>
    <x v="0"/>
    <x v="1"/>
    <x v="2"/>
    <x v="8"/>
    <x v="1"/>
  </r>
  <r>
    <s v="TX501431"/>
    <x v="9"/>
    <x v="3"/>
    <n v="20.3"/>
    <n v="142.1"/>
    <x v="53"/>
    <d v="2025-02-24T00:00:00"/>
    <x v="2"/>
    <x v="2"/>
    <x v="2"/>
    <x v="0"/>
    <x v="2"/>
    <x v="3"/>
    <x v="8"/>
    <x v="2"/>
  </r>
  <r>
    <s v="TX501432"/>
    <x v="19"/>
    <x v="1"/>
    <n v="29.8"/>
    <n v="59.6"/>
    <x v="53"/>
    <d v="2025-02-25T00:00:00"/>
    <x v="2"/>
    <x v="1"/>
    <x v="2"/>
    <x v="0"/>
    <x v="34"/>
    <x v="1"/>
    <x v="8"/>
    <x v="2"/>
  </r>
  <r>
    <s v="TX501433"/>
    <x v="0"/>
    <x v="1"/>
    <n v="24.2"/>
    <n v="48.4"/>
    <x v="53"/>
    <d v="2025-02-25T00:00:00"/>
    <x v="2"/>
    <x v="3"/>
    <x v="2"/>
    <x v="0"/>
    <x v="3"/>
    <x v="1"/>
    <x v="8"/>
    <x v="2"/>
  </r>
  <r>
    <s v="TX501434"/>
    <x v="3"/>
    <x v="0"/>
    <n v="57.3"/>
    <n v="57.3"/>
    <x v="53"/>
    <d v="2025-02-25T00:00:00"/>
    <x v="1"/>
    <x v="0"/>
    <x v="0"/>
    <x v="0"/>
    <x v="3"/>
    <x v="1"/>
    <x v="8"/>
    <x v="1"/>
  </r>
  <r>
    <s v="TX501435"/>
    <x v="2"/>
    <x v="0"/>
    <n v="108.9"/>
    <n v="108.9"/>
    <x v="53"/>
    <d v="2025-02-25T00:00:00"/>
    <x v="2"/>
    <x v="1"/>
    <x v="0"/>
    <x v="0"/>
    <x v="3"/>
    <x v="1"/>
    <x v="8"/>
    <x v="2"/>
  </r>
  <r>
    <s v="TX501436"/>
    <x v="7"/>
    <x v="9"/>
    <n v="50.7"/>
    <n v="253.5"/>
    <x v="53"/>
    <d v="2025-02-24T00:00:00"/>
    <x v="2"/>
    <x v="0"/>
    <x v="0"/>
    <x v="0"/>
    <x v="3"/>
    <x v="3"/>
    <x v="8"/>
    <x v="2"/>
  </r>
  <r>
    <s v="TX501437"/>
    <x v="7"/>
    <x v="11"/>
    <n v="66.099999999999994"/>
    <n v="594.9"/>
    <x v="53"/>
    <d v="2025-03-09T00:00:00"/>
    <x v="2"/>
    <x v="1"/>
    <x v="0"/>
    <x v="0"/>
    <x v="3"/>
    <x v="12"/>
    <x v="8"/>
    <x v="2"/>
  </r>
  <r>
    <s v="TX501438"/>
    <x v="12"/>
    <x v="9"/>
    <n v="36.700000000000003"/>
    <n v="183.5"/>
    <x v="53"/>
    <d v="2025-02-27T00:00:00"/>
    <x v="2"/>
    <x v="4"/>
    <x v="0"/>
    <x v="0"/>
    <x v="3"/>
    <x v="5"/>
    <x v="8"/>
    <x v="2"/>
  </r>
  <r>
    <s v="TX501439"/>
    <x v="8"/>
    <x v="14"/>
    <n v="19.3"/>
    <n v="328.1"/>
    <x v="53"/>
    <d v="2025-02-25T00:00:00"/>
    <x v="1"/>
    <x v="0"/>
    <x v="0"/>
    <x v="0"/>
    <x v="43"/>
    <x v="1"/>
    <x v="8"/>
    <x v="1"/>
  </r>
  <r>
    <s v="TX501440"/>
    <x v="8"/>
    <x v="12"/>
    <n v="20.7"/>
    <n v="82.8"/>
    <x v="53"/>
    <d v="2025-02-24T00:00:00"/>
    <x v="1"/>
    <x v="1"/>
    <x v="2"/>
    <x v="0"/>
    <x v="6"/>
    <x v="3"/>
    <x v="8"/>
    <x v="1"/>
  </r>
  <r>
    <s v="TX501441"/>
    <x v="5"/>
    <x v="2"/>
    <n v="54.7"/>
    <n v="164.10000000000002"/>
    <x v="53"/>
    <d v="2025-02-23T00:00:00"/>
    <x v="3"/>
    <x v="1"/>
    <x v="4"/>
    <x v="0"/>
    <x v="6"/>
    <x v="7"/>
    <x v="8"/>
    <x v="3"/>
  </r>
  <r>
    <s v="TX501442"/>
    <x v="4"/>
    <x v="1"/>
    <n v="19.8"/>
    <n v="39.6"/>
    <x v="53"/>
    <d v="2025-02-27T00:00:00"/>
    <x v="2"/>
    <x v="4"/>
    <x v="1"/>
    <x v="0"/>
    <x v="8"/>
    <x v="5"/>
    <x v="8"/>
    <x v="2"/>
  </r>
  <r>
    <s v="TX501443"/>
    <x v="7"/>
    <x v="0"/>
    <n v="41.1"/>
    <n v="41.1"/>
    <x v="53"/>
    <d v="2025-02-25T00:00:00"/>
    <x v="2"/>
    <x v="0"/>
    <x v="2"/>
    <x v="0"/>
    <x v="8"/>
    <x v="1"/>
    <x v="8"/>
    <x v="2"/>
  </r>
  <r>
    <s v="TX501444"/>
    <x v="11"/>
    <x v="8"/>
    <n v="43.5"/>
    <n v="348"/>
    <x v="53"/>
    <d v="2025-02-27T00:00:00"/>
    <x v="2"/>
    <x v="3"/>
    <x v="0"/>
    <x v="0"/>
    <x v="8"/>
    <x v="5"/>
    <x v="8"/>
    <x v="2"/>
  </r>
  <r>
    <s v="TX501445"/>
    <x v="8"/>
    <x v="21"/>
    <n v="19"/>
    <n v="266"/>
    <x v="53"/>
    <d v="2025-02-24T00:00:00"/>
    <x v="1"/>
    <x v="0"/>
    <x v="0"/>
    <x v="0"/>
    <x v="26"/>
    <x v="3"/>
    <x v="8"/>
    <x v="1"/>
  </r>
  <r>
    <s v="TX501446"/>
    <x v="2"/>
    <x v="12"/>
    <n v="51.4"/>
    <n v="205.6"/>
    <x v="53"/>
    <d v="2025-02-23T00:00:00"/>
    <x v="2"/>
    <x v="0"/>
    <x v="0"/>
    <x v="0"/>
    <x v="26"/>
    <x v="7"/>
    <x v="8"/>
    <x v="2"/>
  </r>
  <r>
    <s v="TX501447"/>
    <x v="10"/>
    <x v="1"/>
    <n v="39.799999999999997"/>
    <n v="79.599999999999994"/>
    <x v="53"/>
    <d v="2025-02-26T00:00:00"/>
    <x v="1"/>
    <x v="3"/>
    <x v="1"/>
    <x v="0"/>
    <x v="13"/>
    <x v="2"/>
    <x v="8"/>
    <x v="1"/>
  </r>
  <r>
    <s v="TX501448"/>
    <x v="6"/>
    <x v="9"/>
    <n v="61"/>
    <n v="305"/>
    <x v="53"/>
    <d v="2025-02-24T00:00:00"/>
    <x v="0"/>
    <x v="0"/>
    <x v="2"/>
    <x v="0"/>
    <x v="21"/>
    <x v="3"/>
    <x v="8"/>
    <x v="0"/>
  </r>
  <r>
    <s v="TX501449"/>
    <x v="8"/>
    <x v="5"/>
    <n v="15.1"/>
    <n v="166.1"/>
    <x v="54"/>
    <d v="2025-03-01T00:00:00"/>
    <x v="1"/>
    <x v="3"/>
    <x v="2"/>
    <x v="0"/>
    <x v="2"/>
    <x v="0"/>
    <x v="8"/>
    <x v="1"/>
  </r>
  <r>
    <s v="TX501450"/>
    <x v="1"/>
    <x v="3"/>
    <n v="71.3"/>
    <n v="499.09999999999997"/>
    <x v="54"/>
    <d v="2025-02-25T00:00:00"/>
    <x v="1"/>
    <x v="4"/>
    <x v="0"/>
    <x v="0"/>
    <x v="3"/>
    <x v="3"/>
    <x v="8"/>
    <x v="1"/>
  </r>
  <r>
    <s v="TX501451"/>
    <x v="10"/>
    <x v="0"/>
    <n v="25.8"/>
    <n v="25.8"/>
    <x v="54"/>
    <d v="2025-02-26T00:00:00"/>
    <x v="2"/>
    <x v="0"/>
    <x v="2"/>
    <x v="0"/>
    <x v="3"/>
    <x v="1"/>
    <x v="8"/>
    <x v="2"/>
  </r>
  <r>
    <s v="TX501452"/>
    <x v="8"/>
    <x v="9"/>
    <n v="39.6"/>
    <n v="198"/>
    <x v="54"/>
    <d v="2025-02-26T00:00:00"/>
    <x v="1"/>
    <x v="1"/>
    <x v="2"/>
    <x v="0"/>
    <x v="3"/>
    <x v="1"/>
    <x v="8"/>
    <x v="1"/>
  </r>
  <r>
    <s v="TX501453"/>
    <x v="5"/>
    <x v="1"/>
    <n v="64"/>
    <n v="128"/>
    <x v="54"/>
    <d v="2025-02-24T00:00:00"/>
    <x v="1"/>
    <x v="1"/>
    <x v="1"/>
    <x v="0"/>
    <x v="3"/>
    <x v="7"/>
    <x v="8"/>
    <x v="1"/>
  </r>
  <r>
    <s v="TX501454"/>
    <x v="8"/>
    <x v="1"/>
    <n v="30.6"/>
    <n v="61.2"/>
    <x v="54"/>
    <d v="2025-02-27T00:00:00"/>
    <x v="1"/>
    <x v="0"/>
    <x v="2"/>
    <x v="0"/>
    <x v="3"/>
    <x v="2"/>
    <x v="8"/>
    <x v="1"/>
  </r>
  <r>
    <s v="TX501455"/>
    <x v="8"/>
    <x v="1"/>
    <n v="21.3"/>
    <n v="42.6"/>
    <x v="54"/>
    <d v="2025-02-25T00:00:00"/>
    <x v="1"/>
    <x v="0"/>
    <x v="1"/>
    <x v="0"/>
    <x v="3"/>
    <x v="3"/>
    <x v="8"/>
    <x v="1"/>
  </r>
  <r>
    <s v="TX501456"/>
    <x v="7"/>
    <x v="0"/>
    <n v="40.799999999999997"/>
    <n v="40.799999999999997"/>
    <x v="54"/>
    <d v="2025-02-26T00:00:00"/>
    <x v="2"/>
    <x v="4"/>
    <x v="0"/>
    <x v="0"/>
    <x v="3"/>
    <x v="1"/>
    <x v="8"/>
    <x v="2"/>
  </r>
  <r>
    <s v="TX501457"/>
    <x v="9"/>
    <x v="12"/>
    <n v="27.7"/>
    <n v="110.8"/>
    <x v="54"/>
    <d v="2025-02-25T00:00:00"/>
    <x v="2"/>
    <x v="0"/>
    <x v="1"/>
    <x v="0"/>
    <x v="3"/>
    <x v="3"/>
    <x v="8"/>
    <x v="2"/>
  </r>
  <r>
    <s v="TX501458"/>
    <x v="6"/>
    <x v="1"/>
    <n v="64.599999999999994"/>
    <n v="129.19999999999999"/>
    <x v="54"/>
    <d v="2025-02-25T00:00:00"/>
    <x v="1"/>
    <x v="0"/>
    <x v="1"/>
    <x v="0"/>
    <x v="3"/>
    <x v="3"/>
    <x v="8"/>
    <x v="1"/>
  </r>
  <r>
    <s v="TX501459"/>
    <x v="6"/>
    <x v="27"/>
    <n v="91.1"/>
    <n v="1457.6"/>
    <x v="54"/>
    <d v="2025-02-25T00:00:00"/>
    <x v="2"/>
    <x v="1"/>
    <x v="2"/>
    <x v="0"/>
    <x v="3"/>
    <x v="3"/>
    <x v="8"/>
    <x v="2"/>
  </r>
  <r>
    <s v="TX501460"/>
    <x v="1"/>
    <x v="0"/>
    <n v="39.5"/>
    <n v="39.5"/>
    <x v="54"/>
    <d v="2025-03-04T00:00:00"/>
    <x v="2"/>
    <x v="0"/>
    <x v="0"/>
    <x v="0"/>
    <x v="3"/>
    <x v="9"/>
    <x v="8"/>
    <x v="2"/>
  </r>
  <r>
    <s v="TX501461"/>
    <x v="9"/>
    <x v="1"/>
    <n v="21.8"/>
    <n v="43.6"/>
    <x v="54"/>
    <d v="2025-02-28T00:00:00"/>
    <x v="1"/>
    <x v="4"/>
    <x v="2"/>
    <x v="0"/>
    <x v="3"/>
    <x v="5"/>
    <x v="8"/>
    <x v="1"/>
  </r>
  <r>
    <s v="TX501462"/>
    <x v="8"/>
    <x v="1"/>
    <n v="51"/>
    <n v="102"/>
    <x v="54"/>
    <d v="2025-02-27T00:00:00"/>
    <x v="1"/>
    <x v="3"/>
    <x v="2"/>
    <x v="0"/>
    <x v="3"/>
    <x v="2"/>
    <x v="8"/>
    <x v="1"/>
  </r>
  <r>
    <s v="TX501463"/>
    <x v="2"/>
    <x v="0"/>
    <n v="92.6"/>
    <n v="92.6"/>
    <x v="54"/>
    <d v="2025-02-27T00:00:00"/>
    <x v="2"/>
    <x v="0"/>
    <x v="2"/>
    <x v="0"/>
    <x v="35"/>
    <x v="2"/>
    <x v="8"/>
    <x v="2"/>
  </r>
  <r>
    <s v="TX501464"/>
    <x v="9"/>
    <x v="1"/>
    <n v="31.1"/>
    <n v="62.2"/>
    <x v="54"/>
    <d v="2025-03-01T00:00:00"/>
    <x v="0"/>
    <x v="1"/>
    <x v="3"/>
    <x v="0"/>
    <x v="23"/>
    <x v="0"/>
    <x v="8"/>
    <x v="0"/>
  </r>
  <r>
    <s v="TX501465"/>
    <x v="5"/>
    <x v="2"/>
    <n v="56.4"/>
    <n v="169.2"/>
    <x v="54"/>
    <d v="2025-02-25T00:00:00"/>
    <x v="0"/>
    <x v="1"/>
    <x v="0"/>
    <x v="0"/>
    <x v="6"/>
    <x v="3"/>
    <x v="8"/>
    <x v="0"/>
  </r>
  <r>
    <s v="TX501466"/>
    <x v="9"/>
    <x v="0"/>
    <n v="41.9"/>
    <n v="41.9"/>
    <x v="54"/>
    <d v="2025-02-24T00:00:00"/>
    <x v="1"/>
    <x v="1"/>
    <x v="0"/>
    <x v="0"/>
    <x v="6"/>
    <x v="7"/>
    <x v="8"/>
    <x v="1"/>
  </r>
  <r>
    <s v="TX501467"/>
    <x v="10"/>
    <x v="3"/>
    <n v="45.9"/>
    <n v="321.3"/>
    <x v="54"/>
    <d v="2025-02-25T00:00:00"/>
    <x v="1"/>
    <x v="3"/>
    <x v="2"/>
    <x v="0"/>
    <x v="8"/>
    <x v="3"/>
    <x v="8"/>
    <x v="1"/>
  </r>
  <r>
    <s v="TX501468"/>
    <x v="14"/>
    <x v="11"/>
    <n v="24.4"/>
    <n v="219.6"/>
    <x v="54"/>
    <d v="2025-02-28T00:00:00"/>
    <x v="1"/>
    <x v="3"/>
    <x v="2"/>
    <x v="0"/>
    <x v="8"/>
    <x v="5"/>
    <x v="8"/>
    <x v="1"/>
  </r>
  <r>
    <s v="TX501469"/>
    <x v="8"/>
    <x v="0"/>
    <n v="18.2"/>
    <n v="18.2"/>
    <x v="54"/>
    <d v="2025-02-25T00:00:00"/>
    <x v="2"/>
    <x v="2"/>
    <x v="2"/>
    <x v="0"/>
    <x v="8"/>
    <x v="3"/>
    <x v="8"/>
    <x v="2"/>
  </r>
  <r>
    <s v="TX501470"/>
    <x v="8"/>
    <x v="12"/>
    <n v="51.2"/>
    <n v="204.8"/>
    <x v="54"/>
    <d v="2025-02-25T00:00:00"/>
    <x v="2"/>
    <x v="0"/>
    <x v="0"/>
    <x v="0"/>
    <x v="8"/>
    <x v="3"/>
    <x v="8"/>
    <x v="2"/>
  </r>
  <r>
    <s v="TX501471"/>
    <x v="6"/>
    <x v="0"/>
    <n v="59.7"/>
    <n v="59.7"/>
    <x v="54"/>
    <d v="2025-02-27T00:00:00"/>
    <x v="1"/>
    <x v="0"/>
    <x v="2"/>
    <x v="0"/>
    <x v="8"/>
    <x v="2"/>
    <x v="8"/>
    <x v="1"/>
  </r>
  <r>
    <s v="TX501472"/>
    <x v="4"/>
    <x v="1"/>
    <n v="33.6"/>
    <n v="67.2"/>
    <x v="54"/>
    <d v="2025-02-26T00:00:00"/>
    <x v="2"/>
    <x v="0"/>
    <x v="0"/>
    <x v="0"/>
    <x v="17"/>
    <x v="1"/>
    <x v="8"/>
    <x v="2"/>
  </r>
  <r>
    <s v="TX501473"/>
    <x v="12"/>
    <x v="0"/>
    <n v="90.4"/>
    <n v="90.4"/>
    <x v="54"/>
    <d v="2025-02-28T00:00:00"/>
    <x v="1"/>
    <x v="1"/>
    <x v="2"/>
    <x v="0"/>
    <x v="10"/>
    <x v="5"/>
    <x v="8"/>
    <x v="1"/>
  </r>
  <r>
    <s v="TX501474"/>
    <x v="11"/>
    <x v="2"/>
    <n v="70.3"/>
    <n v="210.89999999999998"/>
    <x v="54"/>
    <d v="2025-02-24T00:00:00"/>
    <x v="1"/>
    <x v="1"/>
    <x v="2"/>
    <x v="0"/>
    <x v="11"/>
    <x v="7"/>
    <x v="8"/>
    <x v="1"/>
  </r>
  <r>
    <s v="TX501475"/>
    <x v="4"/>
    <x v="1"/>
    <n v="20.5"/>
    <n v="41"/>
    <x v="54"/>
    <d v="2025-02-27T00:00:00"/>
    <x v="2"/>
    <x v="0"/>
    <x v="1"/>
    <x v="0"/>
    <x v="11"/>
    <x v="2"/>
    <x v="8"/>
    <x v="2"/>
  </r>
  <r>
    <s v="TX501476"/>
    <x v="5"/>
    <x v="5"/>
    <n v="37.6"/>
    <n v="413.6"/>
    <x v="54"/>
    <d v="2025-02-25T00:00:00"/>
    <x v="1"/>
    <x v="0"/>
    <x v="0"/>
    <x v="0"/>
    <x v="38"/>
    <x v="3"/>
    <x v="8"/>
    <x v="1"/>
  </r>
  <r>
    <s v="TX501477"/>
    <x v="5"/>
    <x v="12"/>
    <n v="61.5"/>
    <n v="246"/>
    <x v="54"/>
    <d v="2025-03-03T00:00:00"/>
    <x v="2"/>
    <x v="1"/>
    <x v="4"/>
    <x v="0"/>
    <x v="13"/>
    <x v="6"/>
    <x v="8"/>
    <x v="2"/>
  </r>
  <r>
    <s v="TX501478"/>
    <x v="9"/>
    <x v="0"/>
    <n v="33.5"/>
    <n v="33.5"/>
    <x v="55"/>
    <d v="2025-03-01T00:00:00"/>
    <x v="1"/>
    <x v="4"/>
    <x v="1"/>
    <x v="0"/>
    <x v="21"/>
    <x v="5"/>
    <x v="8"/>
    <x v="1"/>
  </r>
  <r>
    <s v="TX501479"/>
    <x v="4"/>
    <x v="2"/>
    <n v="29.3"/>
    <n v="87.9"/>
    <x v="55"/>
    <d v="2025-02-27T00:00:00"/>
    <x v="2"/>
    <x v="1"/>
    <x v="2"/>
    <x v="0"/>
    <x v="1"/>
    <x v="1"/>
    <x v="8"/>
    <x v="2"/>
  </r>
  <r>
    <s v="TX501480"/>
    <x v="2"/>
    <x v="1"/>
    <n v="125.9"/>
    <n v="251.8"/>
    <x v="55"/>
    <d v="2025-03-02T00:00:00"/>
    <x v="2"/>
    <x v="4"/>
    <x v="1"/>
    <x v="0"/>
    <x v="1"/>
    <x v="0"/>
    <x v="8"/>
    <x v="2"/>
  </r>
  <r>
    <s v="TX501481"/>
    <x v="5"/>
    <x v="9"/>
    <n v="29.3"/>
    <n v="146.5"/>
    <x v="55"/>
    <d v="2025-02-25T00:00:00"/>
    <x v="1"/>
    <x v="2"/>
    <x v="0"/>
    <x v="0"/>
    <x v="44"/>
    <x v="7"/>
    <x v="8"/>
    <x v="1"/>
  </r>
  <r>
    <s v="TX501482"/>
    <x v="9"/>
    <x v="0"/>
    <n v="37.799999999999997"/>
    <n v="37.799999999999997"/>
    <x v="55"/>
    <d v="2025-02-28T00:00:00"/>
    <x v="2"/>
    <x v="0"/>
    <x v="2"/>
    <x v="0"/>
    <x v="3"/>
    <x v="2"/>
    <x v="8"/>
    <x v="2"/>
  </r>
  <r>
    <s v="TX501483"/>
    <x v="0"/>
    <x v="12"/>
    <n v="31.7"/>
    <n v="126.8"/>
    <x v="55"/>
    <d v="2025-02-26T00:00:00"/>
    <x v="1"/>
    <x v="2"/>
    <x v="2"/>
    <x v="0"/>
    <x v="3"/>
    <x v="3"/>
    <x v="8"/>
    <x v="1"/>
  </r>
  <r>
    <s v="TX501484"/>
    <x v="8"/>
    <x v="9"/>
    <n v="26.3"/>
    <n v="131.5"/>
    <x v="55"/>
    <d v="2025-02-26T00:00:00"/>
    <x v="2"/>
    <x v="3"/>
    <x v="2"/>
    <x v="0"/>
    <x v="3"/>
    <x v="3"/>
    <x v="8"/>
    <x v="2"/>
  </r>
  <r>
    <s v="TX501485"/>
    <x v="8"/>
    <x v="2"/>
    <n v="23.1"/>
    <n v="69.300000000000011"/>
    <x v="55"/>
    <d v="2025-02-26T00:00:00"/>
    <x v="3"/>
    <x v="2"/>
    <x v="1"/>
    <x v="0"/>
    <x v="3"/>
    <x v="3"/>
    <x v="8"/>
    <x v="3"/>
  </r>
  <r>
    <s v="TX501486"/>
    <x v="4"/>
    <x v="0"/>
    <n v="22.3"/>
    <n v="22.3"/>
    <x v="55"/>
    <d v="2025-02-27T00:00:00"/>
    <x v="2"/>
    <x v="2"/>
    <x v="0"/>
    <x v="0"/>
    <x v="3"/>
    <x v="1"/>
    <x v="8"/>
    <x v="2"/>
  </r>
  <r>
    <s v="TX501487"/>
    <x v="12"/>
    <x v="1"/>
    <n v="99.5"/>
    <n v="199"/>
    <x v="55"/>
    <d v="2025-02-27T00:00:00"/>
    <x v="2"/>
    <x v="2"/>
    <x v="0"/>
    <x v="0"/>
    <x v="3"/>
    <x v="1"/>
    <x v="8"/>
    <x v="2"/>
  </r>
  <r>
    <s v="TX501488"/>
    <x v="12"/>
    <x v="12"/>
    <n v="47.4"/>
    <n v="189.6"/>
    <x v="55"/>
    <d v="2025-02-28T00:00:00"/>
    <x v="2"/>
    <x v="1"/>
    <x v="0"/>
    <x v="0"/>
    <x v="3"/>
    <x v="2"/>
    <x v="8"/>
    <x v="2"/>
  </r>
  <r>
    <s v="TX501489"/>
    <x v="0"/>
    <x v="5"/>
    <n v="37.5"/>
    <n v="412.5"/>
    <x v="55"/>
    <d v="2025-02-27T00:00:00"/>
    <x v="2"/>
    <x v="0"/>
    <x v="3"/>
    <x v="0"/>
    <x v="3"/>
    <x v="1"/>
    <x v="8"/>
    <x v="2"/>
  </r>
  <r>
    <s v="TX501490"/>
    <x v="10"/>
    <x v="0"/>
    <n v="45.1"/>
    <n v="45.1"/>
    <x v="55"/>
    <d v="2025-03-02T00:00:00"/>
    <x v="1"/>
    <x v="3"/>
    <x v="2"/>
    <x v="0"/>
    <x v="24"/>
    <x v="0"/>
    <x v="8"/>
    <x v="1"/>
  </r>
  <r>
    <s v="TX501491"/>
    <x v="5"/>
    <x v="7"/>
    <n v="34.4"/>
    <n v="344"/>
    <x v="55"/>
    <d v="2025-02-28T00:00:00"/>
    <x v="1"/>
    <x v="2"/>
    <x v="0"/>
    <x v="0"/>
    <x v="16"/>
    <x v="2"/>
    <x v="8"/>
    <x v="1"/>
  </r>
  <r>
    <s v="TX501492"/>
    <x v="4"/>
    <x v="1"/>
    <n v="38"/>
    <n v="76"/>
    <x v="55"/>
    <d v="2025-02-27T00:00:00"/>
    <x v="2"/>
    <x v="1"/>
    <x v="0"/>
    <x v="0"/>
    <x v="5"/>
    <x v="1"/>
    <x v="8"/>
    <x v="2"/>
  </r>
  <r>
    <s v="TX501493"/>
    <x v="3"/>
    <x v="21"/>
    <n v="32.4"/>
    <n v="453.59999999999997"/>
    <x v="55"/>
    <d v="2025-02-28T00:00:00"/>
    <x v="1"/>
    <x v="4"/>
    <x v="0"/>
    <x v="0"/>
    <x v="6"/>
    <x v="2"/>
    <x v="8"/>
    <x v="1"/>
  </r>
  <r>
    <s v="TX501494"/>
    <x v="6"/>
    <x v="2"/>
    <n v="40.9"/>
    <n v="122.69999999999999"/>
    <x v="55"/>
    <d v="2025-02-25T00:00:00"/>
    <x v="0"/>
    <x v="1"/>
    <x v="0"/>
    <x v="0"/>
    <x v="8"/>
    <x v="7"/>
    <x v="8"/>
    <x v="0"/>
  </r>
  <r>
    <s v="TX501495"/>
    <x v="7"/>
    <x v="3"/>
    <n v="76.2"/>
    <n v="533.4"/>
    <x v="55"/>
    <d v="2025-02-27T00:00:00"/>
    <x v="2"/>
    <x v="2"/>
    <x v="1"/>
    <x v="0"/>
    <x v="8"/>
    <x v="1"/>
    <x v="8"/>
    <x v="2"/>
  </r>
  <r>
    <s v="TX501496"/>
    <x v="2"/>
    <x v="0"/>
    <n v="85.6"/>
    <n v="85.6"/>
    <x v="55"/>
    <d v="2025-02-27T00:00:00"/>
    <x v="1"/>
    <x v="2"/>
    <x v="0"/>
    <x v="0"/>
    <x v="8"/>
    <x v="1"/>
    <x v="8"/>
    <x v="1"/>
  </r>
  <r>
    <s v="TX501497"/>
    <x v="4"/>
    <x v="12"/>
    <n v="25"/>
    <n v="100"/>
    <x v="55"/>
    <d v="2025-02-27T00:00:00"/>
    <x v="2"/>
    <x v="2"/>
    <x v="2"/>
    <x v="0"/>
    <x v="8"/>
    <x v="1"/>
    <x v="8"/>
    <x v="2"/>
  </r>
  <r>
    <s v="TX501498"/>
    <x v="2"/>
    <x v="9"/>
    <n v="150.69999999999999"/>
    <n v="753.5"/>
    <x v="55"/>
    <d v="2025-02-26T00:00:00"/>
    <x v="0"/>
    <x v="0"/>
    <x v="2"/>
    <x v="0"/>
    <x v="8"/>
    <x v="3"/>
    <x v="8"/>
    <x v="0"/>
  </r>
  <r>
    <s v="TX501499"/>
    <x v="8"/>
    <x v="0"/>
    <n v="19.600000000000001"/>
    <n v="19.600000000000001"/>
    <x v="55"/>
    <d v="2025-02-26T00:00:00"/>
    <x v="1"/>
    <x v="1"/>
    <x v="4"/>
    <x v="0"/>
    <x v="8"/>
    <x v="3"/>
    <x v="8"/>
    <x v="1"/>
  </r>
  <r>
    <s v="TX501500"/>
    <x v="13"/>
    <x v="1"/>
    <n v="37.5"/>
    <n v="75"/>
    <x v="55"/>
    <d v="2025-02-28T00:00:00"/>
    <x v="2"/>
    <x v="1"/>
    <x v="2"/>
    <x v="0"/>
    <x v="17"/>
    <x v="2"/>
    <x v="8"/>
    <x v="2"/>
  </r>
  <r>
    <s v="TX501501"/>
    <x v="9"/>
    <x v="2"/>
    <n v="51.9"/>
    <n v="155.69999999999999"/>
    <x v="55"/>
    <d v="2025-03-03T00:00:00"/>
    <x v="2"/>
    <x v="0"/>
    <x v="4"/>
    <x v="0"/>
    <x v="11"/>
    <x v="4"/>
    <x v="8"/>
    <x v="2"/>
  </r>
  <r>
    <s v="TX501502"/>
    <x v="1"/>
    <x v="1"/>
    <n v="30.9"/>
    <n v="61.8"/>
    <x v="55"/>
    <d v="2025-02-27T00:00:00"/>
    <x v="2"/>
    <x v="1"/>
    <x v="0"/>
    <x v="0"/>
    <x v="18"/>
    <x v="1"/>
    <x v="8"/>
    <x v="2"/>
  </r>
  <r>
    <s v="TX501503"/>
    <x v="4"/>
    <x v="2"/>
    <n v="21.2"/>
    <n v="63.599999999999994"/>
    <x v="55"/>
    <d v="2025-02-28T00:00:00"/>
    <x v="2"/>
    <x v="1"/>
    <x v="0"/>
    <x v="0"/>
    <x v="19"/>
    <x v="2"/>
    <x v="8"/>
    <x v="2"/>
  </r>
  <r>
    <s v="TX501504"/>
    <x v="13"/>
    <x v="14"/>
    <n v="17.5"/>
    <n v="297.5"/>
    <x v="55"/>
    <d v="2025-02-26T00:00:00"/>
    <x v="1"/>
    <x v="1"/>
    <x v="1"/>
    <x v="0"/>
    <x v="13"/>
    <x v="3"/>
    <x v="8"/>
    <x v="1"/>
  </r>
  <r>
    <s v="TX501505"/>
    <x v="12"/>
    <x v="1"/>
    <n v="53.8"/>
    <n v="107.6"/>
    <x v="55"/>
    <d v="2025-03-02T00:00:00"/>
    <x v="2"/>
    <x v="0"/>
    <x v="2"/>
    <x v="0"/>
    <x v="21"/>
    <x v="0"/>
    <x v="8"/>
    <x v="2"/>
  </r>
  <r>
    <s v="TX501506"/>
    <x v="19"/>
    <x v="1"/>
    <n v="17"/>
    <n v="34"/>
    <x v="55"/>
    <d v="2025-02-26T00:00:00"/>
    <x v="1"/>
    <x v="3"/>
    <x v="0"/>
    <x v="0"/>
    <x v="21"/>
    <x v="3"/>
    <x v="8"/>
    <x v="1"/>
  </r>
  <r>
    <s v="TX501507"/>
    <x v="6"/>
    <x v="0"/>
    <n v="103.2"/>
    <n v="103.2"/>
    <x v="55"/>
    <d v="2025-03-05T00:00:00"/>
    <x v="1"/>
    <x v="2"/>
    <x v="1"/>
    <x v="0"/>
    <x v="1"/>
    <x v="9"/>
    <x v="8"/>
    <x v="1"/>
  </r>
  <r>
    <s v="TX501508"/>
    <x v="6"/>
    <x v="12"/>
    <n v="70.3"/>
    <n v="281.2"/>
    <x v="55"/>
    <d v="2025-02-26T00:00:00"/>
    <x v="1"/>
    <x v="0"/>
    <x v="0"/>
    <x v="0"/>
    <x v="3"/>
    <x v="3"/>
    <x v="8"/>
    <x v="1"/>
  </r>
  <r>
    <s v="TX501509"/>
    <x v="2"/>
    <x v="1"/>
    <n v="73.8"/>
    <n v="147.6"/>
    <x v="55"/>
    <d v="2025-02-25T00:00:00"/>
    <x v="1"/>
    <x v="3"/>
    <x v="2"/>
    <x v="0"/>
    <x v="3"/>
    <x v="7"/>
    <x v="8"/>
    <x v="1"/>
  </r>
  <r>
    <s v="TX501510"/>
    <x v="1"/>
    <x v="4"/>
    <n v="67.7"/>
    <n v="812.40000000000009"/>
    <x v="55"/>
    <d v="2025-03-01T00:00:00"/>
    <x v="1"/>
    <x v="1"/>
    <x v="1"/>
    <x v="0"/>
    <x v="3"/>
    <x v="5"/>
    <x v="8"/>
    <x v="1"/>
  </r>
  <r>
    <s v="TX501511"/>
    <x v="13"/>
    <x v="3"/>
    <n v="43.8"/>
    <n v="306.59999999999997"/>
    <x v="55"/>
    <d v="2025-02-27T00:00:00"/>
    <x v="1"/>
    <x v="1"/>
    <x v="0"/>
    <x v="0"/>
    <x v="3"/>
    <x v="1"/>
    <x v="8"/>
    <x v="1"/>
  </r>
  <r>
    <s v="TX501512"/>
    <x v="17"/>
    <x v="13"/>
    <n v="71.900000000000006"/>
    <n v="431.40000000000003"/>
    <x v="55"/>
    <d v="2025-02-26T00:00:00"/>
    <x v="2"/>
    <x v="2"/>
    <x v="0"/>
    <x v="0"/>
    <x v="3"/>
    <x v="3"/>
    <x v="8"/>
    <x v="2"/>
  </r>
  <r>
    <s v="TX501513"/>
    <x v="8"/>
    <x v="1"/>
    <n v="26.3"/>
    <n v="52.6"/>
    <x v="56"/>
    <d v="2025-02-28T00:00:00"/>
    <x v="2"/>
    <x v="0"/>
    <x v="1"/>
    <x v="0"/>
    <x v="3"/>
    <x v="1"/>
    <x v="8"/>
    <x v="2"/>
  </r>
  <r>
    <s v="TX501514"/>
    <x v="6"/>
    <x v="12"/>
    <n v="52.6"/>
    <n v="210.4"/>
    <x v="56"/>
    <d v="2025-02-28T00:00:00"/>
    <x v="2"/>
    <x v="2"/>
    <x v="1"/>
    <x v="0"/>
    <x v="3"/>
    <x v="1"/>
    <x v="8"/>
    <x v="2"/>
  </r>
  <r>
    <s v="TX501515"/>
    <x v="10"/>
    <x v="0"/>
    <n v="32.700000000000003"/>
    <n v="32.700000000000003"/>
    <x v="56"/>
    <d v="2025-03-05T00:00:00"/>
    <x v="2"/>
    <x v="0"/>
    <x v="2"/>
    <x v="0"/>
    <x v="3"/>
    <x v="6"/>
    <x v="8"/>
    <x v="2"/>
  </r>
  <r>
    <s v="TX501516"/>
    <x v="5"/>
    <x v="12"/>
    <n v="38.9"/>
    <n v="155.6"/>
    <x v="56"/>
    <d v="2025-02-27T00:00:00"/>
    <x v="2"/>
    <x v="0"/>
    <x v="0"/>
    <x v="0"/>
    <x v="3"/>
    <x v="3"/>
    <x v="8"/>
    <x v="2"/>
  </r>
  <r>
    <s v="TX501517"/>
    <x v="9"/>
    <x v="9"/>
    <n v="35"/>
    <n v="175"/>
    <x v="56"/>
    <d v="2025-02-28T00:00:00"/>
    <x v="1"/>
    <x v="0"/>
    <x v="0"/>
    <x v="0"/>
    <x v="3"/>
    <x v="1"/>
    <x v="8"/>
    <x v="1"/>
  </r>
  <r>
    <s v="TX501518"/>
    <x v="2"/>
    <x v="1"/>
    <n v="121"/>
    <n v="242"/>
    <x v="56"/>
    <d v="2025-02-27T00:00:00"/>
    <x v="2"/>
    <x v="1"/>
    <x v="1"/>
    <x v="0"/>
    <x v="3"/>
    <x v="3"/>
    <x v="8"/>
    <x v="2"/>
  </r>
  <r>
    <s v="TX501519"/>
    <x v="6"/>
    <x v="2"/>
    <n v="65.099999999999994"/>
    <n v="195.29999999999998"/>
    <x v="56"/>
    <d v="2025-03-02T00:00:00"/>
    <x v="1"/>
    <x v="2"/>
    <x v="0"/>
    <x v="0"/>
    <x v="36"/>
    <x v="5"/>
    <x v="8"/>
    <x v="1"/>
  </r>
  <r>
    <s v="TX501520"/>
    <x v="1"/>
    <x v="38"/>
    <n v="63.8"/>
    <n v="1339.8"/>
    <x v="56"/>
    <d v="2025-02-28T00:00:00"/>
    <x v="2"/>
    <x v="0"/>
    <x v="0"/>
    <x v="0"/>
    <x v="8"/>
    <x v="1"/>
    <x v="8"/>
    <x v="2"/>
  </r>
  <r>
    <s v="TX501521"/>
    <x v="7"/>
    <x v="0"/>
    <n v="77.7"/>
    <n v="77.7"/>
    <x v="56"/>
    <d v="2025-02-28T00:00:00"/>
    <x v="1"/>
    <x v="0"/>
    <x v="0"/>
    <x v="0"/>
    <x v="8"/>
    <x v="1"/>
    <x v="8"/>
    <x v="1"/>
  </r>
  <r>
    <s v="TX501522"/>
    <x v="5"/>
    <x v="12"/>
    <n v="60.3"/>
    <n v="241.2"/>
    <x v="56"/>
    <d v="2025-02-26T00:00:00"/>
    <x v="1"/>
    <x v="0"/>
    <x v="2"/>
    <x v="0"/>
    <x v="8"/>
    <x v="7"/>
    <x v="8"/>
    <x v="1"/>
  </r>
  <r>
    <s v="TX501523"/>
    <x v="5"/>
    <x v="1"/>
    <n v="124.1"/>
    <n v="248.2"/>
    <x v="56"/>
    <d v="2025-03-01T00:00:00"/>
    <x v="2"/>
    <x v="0"/>
    <x v="2"/>
    <x v="0"/>
    <x v="8"/>
    <x v="2"/>
    <x v="8"/>
    <x v="2"/>
  </r>
  <r>
    <s v="TX501524"/>
    <x v="16"/>
    <x v="3"/>
    <n v="66"/>
    <n v="462"/>
    <x v="56"/>
    <d v="2025-02-26T00:00:00"/>
    <x v="0"/>
    <x v="3"/>
    <x v="0"/>
    <x v="0"/>
    <x v="17"/>
    <x v="7"/>
    <x v="8"/>
    <x v="0"/>
  </r>
  <r>
    <s v="TX501525"/>
    <x v="2"/>
    <x v="42"/>
    <n v="118.2"/>
    <n v="7446.6"/>
    <x v="56"/>
    <d v="2025-03-03T00:00:00"/>
    <x v="0"/>
    <x v="0"/>
    <x v="0"/>
    <x v="0"/>
    <x v="17"/>
    <x v="0"/>
    <x v="8"/>
    <x v="0"/>
  </r>
  <r>
    <s v="TX501526"/>
    <x v="5"/>
    <x v="9"/>
    <n v="64.3"/>
    <n v="321.5"/>
    <x v="56"/>
    <d v="2025-02-27T00:00:00"/>
    <x v="1"/>
    <x v="4"/>
    <x v="4"/>
    <x v="0"/>
    <x v="26"/>
    <x v="3"/>
    <x v="8"/>
    <x v="1"/>
  </r>
  <r>
    <s v="TX501527"/>
    <x v="1"/>
    <x v="1"/>
    <n v="54.8"/>
    <n v="109.6"/>
    <x v="56"/>
    <d v="2025-02-26T00:00:00"/>
    <x v="1"/>
    <x v="0"/>
    <x v="1"/>
    <x v="0"/>
    <x v="26"/>
    <x v="7"/>
    <x v="8"/>
    <x v="1"/>
  </r>
  <r>
    <s v="TX501528"/>
    <x v="7"/>
    <x v="1"/>
    <n v="78.599999999999994"/>
    <n v="157.19999999999999"/>
    <x v="56"/>
    <d v="2025-02-27T00:00:00"/>
    <x v="1"/>
    <x v="0"/>
    <x v="2"/>
    <x v="0"/>
    <x v="9"/>
    <x v="3"/>
    <x v="8"/>
    <x v="1"/>
  </r>
  <r>
    <s v="TX501529"/>
    <x v="2"/>
    <x v="9"/>
    <n v="158.5"/>
    <n v="792.5"/>
    <x v="56"/>
    <d v="2025-02-28T00:00:00"/>
    <x v="0"/>
    <x v="2"/>
    <x v="2"/>
    <x v="0"/>
    <x v="9"/>
    <x v="1"/>
    <x v="8"/>
    <x v="0"/>
  </r>
  <r>
    <s v="TX501530"/>
    <x v="4"/>
    <x v="7"/>
    <n v="23.5"/>
    <n v="235"/>
    <x v="56"/>
    <d v="2025-03-01T00:00:00"/>
    <x v="1"/>
    <x v="0"/>
    <x v="4"/>
    <x v="0"/>
    <x v="10"/>
    <x v="2"/>
    <x v="8"/>
    <x v="1"/>
  </r>
  <r>
    <s v="TX501531"/>
    <x v="5"/>
    <x v="1"/>
    <n v="32.1"/>
    <n v="64.2"/>
    <x v="56"/>
    <d v="2025-02-28T00:00:00"/>
    <x v="0"/>
    <x v="3"/>
    <x v="0"/>
    <x v="0"/>
    <x v="10"/>
    <x v="1"/>
    <x v="8"/>
    <x v="0"/>
  </r>
  <r>
    <s v="TX501532"/>
    <x v="17"/>
    <x v="12"/>
    <n v="71.900000000000006"/>
    <n v="287.60000000000002"/>
    <x v="56"/>
    <d v="2025-02-26T00:00:00"/>
    <x v="1"/>
    <x v="2"/>
    <x v="0"/>
    <x v="0"/>
    <x v="19"/>
    <x v="7"/>
    <x v="8"/>
    <x v="1"/>
  </r>
  <r>
    <s v="TX501533"/>
    <x v="4"/>
    <x v="13"/>
    <n v="22.3"/>
    <n v="133.80000000000001"/>
    <x v="56"/>
    <d v="2025-02-27T00:00:00"/>
    <x v="0"/>
    <x v="3"/>
    <x v="2"/>
    <x v="0"/>
    <x v="13"/>
    <x v="3"/>
    <x v="8"/>
    <x v="0"/>
  </r>
  <r>
    <s v="TX501534"/>
    <x v="11"/>
    <x v="1"/>
    <n v="29.5"/>
    <n v="59"/>
    <x v="56"/>
    <d v="2025-02-27T00:00:00"/>
    <x v="2"/>
    <x v="0"/>
    <x v="2"/>
    <x v="0"/>
    <x v="13"/>
    <x v="3"/>
    <x v="8"/>
    <x v="2"/>
  </r>
  <r>
    <s v="TX501535"/>
    <x v="6"/>
    <x v="12"/>
    <n v="41.9"/>
    <n v="167.6"/>
    <x v="56"/>
    <d v="2025-03-02T00:00:00"/>
    <x v="2"/>
    <x v="0"/>
    <x v="1"/>
    <x v="0"/>
    <x v="21"/>
    <x v="5"/>
    <x v="8"/>
    <x v="2"/>
  </r>
  <r>
    <s v="TX501536"/>
    <x v="6"/>
    <x v="2"/>
    <n v="107.8"/>
    <n v="323.39999999999998"/>
    <x v="56"/>
    <d v="2025-02-27T00:00:00"/>
    <x v="1"/>
    <x v="1"/>
    <x v="2"/>
    <x v="0"/>
    <x v="46"/>
    <x v="3"/>
    <x v="8"/>
    <x v="1"/>
  </r>
  <r>
    <s v="TX501537"/>
    <x v="4"/>
    <x v="9"/>
    <n v="18.100000000000001"/>
    <n v="90.5"/>
    <x v="56"/>
    <d v="2025-03-01T00:00:00"/>
    <x v="1"/>
    <x v="0"/>
    <x v="2"/>
    <x v="0"/>
    <x v="2"/>
    <x v="2"/>
    <x v="8"/>
    <x v="1"/>
  </r>
  <r>
    <s v="TX501538"/>
    <x v="12"/>
    <x v="11"/>
    <n v="79.8"/>
    <n v="718.19999999999993"/>
    <x v="56"/>
    <d v="2025-02-27T00:00:00"/>
    <x v="2"/>
    <x v="1"/>
    <x v="1"/>
    <x v="0"/>
    <x v="22"/>
    <x v="3"/>
    <x v="8"/>
    <x v="2"/>
  </r>
  <r>
    <s v="TX501539"/>
    <x v="0"/>
    <x v="2"/>
    <n v="22.3"/>
    <n v="66.900000000000006"/>
    <x v="56"/>
    <d v="2025-03-01T00:00:00"/>
    <x v="2"/>
    <x v="0"/>
    <x v="2"/>
    <x v="0"/>
    <x v="22"/>
    <x v="2"/>
    <x v="8"/>
    <x v="2"/>
  </r>
  <r>
    <s v="TX501540"/>
    <x v="8"/>
    <x v="0"/>
    <n v="22.9"/>
    <n v="22.9"/>
    <x v="56"/>
    <d v="2025-02-26T00:00:00"/>
    <x v="2"/>
    <x v="1"/>
    <x v="0"/>
    <x v="0"/>
    <x v="22"/>
    <x v="7"/>
    <x v="8"/>
    <x v="2"/>
  </r>
  <r>
    <s v="TX501541"/>
    <x v="0"/>
    <x v="2"/>
    <n v="16.2"/>
    <n v="48.599999999999994"/>
    <x v="57"/>
    <d v="2025-02-27T00:00:00"/>
    <x v="1"/>
    <x v="4"/>
    <x v="2"/>
    <x v="0"/>
    <x v="3"/>
    <x v="7"/>
    <x v="8"/>
    <x v="1"/>
  </r>
  <r>
    <s v="TX501542"/>
    <x v="10"/>
    <x v="12"/>
    <n v="59.5"/>
    <n v="238"/>
    <x v="57"/>
    <d v="2025-02-28T00:00:00"/>
    <x v="1"/>
    <x v="1"/>
    <x v="2"/>
    <x v="0"/>
    <x v="3"/>
    <x v="3"/>
    <x v="8"/>
    <x v="1"/>
  </r>
  <r>
    <s v="TX501543"/>
    <x v="18"/>
    <x v="9"/>
    <n v="26.2"/>
    <n v="131"/>
    <x v="57"/>
    <d v="2025-03-02T00:00:00"/>
    <x v="1"/>
    <x v="3"/>
    <x v="4"/>
    <x v="0"/>
    <x v="3"/>
    <x v="2"/>
    <x v="8"/>
    <x v="1"/>
  </r>
  <r>
    <s v="TX501544"/>
    <x v="3"/>
    <x v="0"/>
    <n v="44.2"/>
    <n v="44.2"/>
    <x v="57"/>
    <d v="2025-03-02T00:00:00"/>
    <x v="2"/>
    <x v="1"/>
    <x v="0"/>
    <x v="0"/>
    <x v="3"/>
    <x v="2"/>
    <x v="8"/>
    <x v="2"/>
  </r>
  <r>
    <s v="TX501545"/>
    <x v="9"/>
    <x v="1"/>
    <n v="59.2"/>
    <n v="118.4"/>
    <x v="57"/>
    <d v="2025-02-27T00:00:00"/>
    <x v="2"/>
    <x v="1"/>
    <x v="4"/>
    <x v="0"/>
    <x v="3"/>
    <x v="7"/>
    <x v="8"/>
    <x v="2"/>
  </r>
  <r>
    <s v="TX501546"/>
    <x v="15"/>
    <x v="12"/>
    <n v="41.5"/>
    <n v="166"/>
    <x v="57"/>
    <d v="2025-03-01T00:00:00"/>
    <x v="2"/>
    <x v="0"/>
    <x v="0"/>
    <x v="0"/>
    <x v="16"/>
    <x v="1"/>
    <x v="8"/>
    <x v="2"/>
  </r>
  <r>
    <s v="TX501547"/>
    <x v="6"/>
    <x v="4"/>
    <n v="67.099999999999994"/>
    <n v="805.19999999999993"/>
    <x v="57"/>
    <d v="2025-03-13T00:00:00"/>
    <x v="2"/>
    <x v="0"/>
    <x v="2"/>
    <x v="0"/>
    <x v="23"/>
    <x v="12"/>
    <x v="8"/>
    <x v="2"/>
  </r>
  <r>
    <s v="TX501548"/>
    <x v="8"/>
    <x v="1"/>
    <n v="28.7"/>
    <n v="57.4"/>
    <x v="57"/>
    <d v="2025-03-03T00:00:00"/>
    <x v="2"/>
    <x v="1"/>
    <x v="0"/>
    <x v="0"/>
    <x v="6"/>
    <x v="5"/>
    <x v="8"/>
    <x v="2"/>
  </r>
  <r>
    <s v="TX501549"/>
    <x v="2"/>
    <x v="12"/>
    <n v="132.1"/>
    <n v="528.4"/>
    <x v="57"/>
    <d v="2025-02-28T00:00:00"/>
    <x v="2"/>
    <x v="0"/>
    <x v="1"/>
    <x v="0"/>
    <x v="6"/>
    <x v="3"/>
    <x v="8"/>
    <x v="2"/>
  </r>
  <r>
    <s v="TX501550"/>
    <x v="18"/>
    <x v="1"/>
    <n v="47"/>
    <n v="94"/>
    <x v="57"/>
    <d v="2025-03-01T00:00:00"/>
    <x v="1"/>
    <x v="4"/>
    <x v="0"/>
    <x v="0"/>
    <x v="8"/>
    <x v="1"/>
    <x v="8"/>
    <x v="1"/>
  </r>
  <r>
    <s v="TX501551"/>
    <x v="8"/>
    <x v="1"/>
    <n v="41.6"/>
    <n v="83.2"/>
    <x v="57"/>
    <d v="2025-03-03T00:00:00"/>
    <x v="1"/>
    <x v="1"/>
    <x v="2"/>
    <x v="0"/>
    <x v="8"/>
    <x v="5"/>
    <x v="8"/>
    <x v="1"/>
  </r>
  <r>
    <s v="TX501552"/>
    <x v="8"/>
    <x v="43"/>
    <n v="17.3"/>
    <n v="657.4"/>
    <x v="57"/>
    <d v="2025-03-01T00:00:00"/>
    <x v="1"/>
    <x v="2"/>
    <x v="2"/>
    <x v="0"/>
    <x v="8"/>
    <x v="1"/>
    <x v="8"/>
    <x v="1"/>
  </r>
  <r>
    <s v="TX501553"/>
    <x v="13"/>
    <x v="2"/>
    <n v="41.8"/>
    <n v="125.39999999999999"/>
    <x v="57"/>
    <d v="2025-03-02T00:00:00"/>
    <x v="1"/>
    <x v="0"/>
    <x v="2"/>
    <x v="0"/>
    <x v="8"/>
    <x v="2"/>
    <x v="8"/>
    <x v="1"/>
  </r>
  <r>
    <s v="TX501554"/>
    <x v="10"/>
    <x v="0"/>
    <n v="24"/>
    <n v="24"/>
    <x v="57"/>
    <d v="2025-02-28T00:00:00"/>
    <x v="2"/>
    <x v="0"/>
    <x v="0"/>
    <x v="0"/>
    <x v="17"/>
    <x v="3"/>
    <x v="8"/>
    <x v="2"/>
  </r>
  <r>
    <s v="TX501555"/>
    <x v="14"/>
    <x v="11"/>
    <n v="18.5"/>
    <n v="166.5"/>
    <x v="57"/>
    <d v="2025-03-01T00:00:00"/>
    <x v="2"/>
    <x v="0"/>
    <x v="0"/>
    <x v="0"/>
    <x v="9"/>
    <x v="1"/>
    <x v="8"/>
    <x v="2"/>
  </r>
  <r>
    <s v="TX501556"/>
    <x v="3"/>
    <x v="4"/>
    <n v="66.7"/>
    <n v="800.40000000000009"/>
    <x v="57"/>
    <d v="2025-03-02T00:00:00"/>
    <x v="0"/>
    <x v="0"/>
    <x v="2"/>
    <x v="0"/>
    <x v="11"/>
    <x v="2"/>
    <x v="8"/>
    <x v="0"/>
  </r>
  <r>
    <s v="TX501557"/>
    <x v="1"/>
    <x v="12"/>
    <n v="33.1"/>
    <n v="132.4"/>
    <x v="57"/>
    <d v="2025-03-04T00:00:00"/>
    <x v="1"/>
    <x v="3"/>
    <x v="0"/>
    <x v="0"/>
    <x v="11"/>
    <x v="0"/>
    <x v="8"/>
    <x v="1"/>
  </r>
  <r>
    <s v="TX501558"/>
    <x v="19"/>
    <x v="11"/>
    <n v="42.1"/>
    <n v="378.90000000000003"/>
    <x v="57"/>
    <d v="2025-03-10T00:00:00"/>
    <x v="1"/>
    <x v="1"/>
    <x v="0"/>
    <x v="0"/>
    <x v="18"/>
    <x v="11"/>
    <x v="8"/>
    <x v="1"/>
  </r>
  <r>
    <s v="TX501559"/>
    <x v="18"/>
    <x v="3"/>
    <n v="58.7"/>
    <n v="410.90000000000003"/>
    <x v="57"/>
    <d v="2025-02-27T00:00:00"/>
    <x v="3"/>
    <x v="3"/>
    <x v="0"/>
    <x v="0"/>
    <x v="31"/>
    <x v="7"/>
    <x v="8"/>
    <x v="3"/>
  </r>
  <r>
    <s v="TX501560"/>
    <x v="6"/>
    <x v="12"/>
    <n v="54"/>
    <n v="216"/>
    <x v="57"/>
    <d v="2025-03-01T00:00:00"/>
    <x v="2"/>
    <x v="1"/>
    <x v="0"/>
    <x v="0"/>
    <x v="1"/>
    <x v="1"/>
    <x v="8"/>
    <x v="2"/>
  </r>
  <r>
    <s v="TX501561"/>
    <x v="8"/>
    <x v="0"/>
    <n v="52.1"/>
    <n v="52.1"/>
    <x v="57"/>
    <d v="2025-02-28T00:00:00"/>
    <x v="2"/>
    <x v="2"/>
    <x v="2"/>
    <x v="0"/>
    <x v="2"/>
    <x v="3"/>
    <x v="8"/>
    <x v="2"/>
  </r>
  <r>
    <s v="TX501562"/>
    <x v="19"/>
    <x v="1"/>
    <n v="27"/>
    <n v="54"/>
    <x v="57"/>
    <d v="2025-03-02T00:00:00"/>
    <x v="3"/>
    <x v="2"/>
    <x v="0"/>
    <x v="0"/>
    <x v="22"/>
    <x v="2"/>
    <x v="8"/>
    <x v="3"/>
  </r>
  <r>
    <s v="TX501563"/>
    <x v="12"/>
    <x v="7"/>
    <n v="31"/>
    <n v="310"/>
    <x v="58"/>
    <d v="2025-03-01T00:00:00"/>
    <x v="2"/>
    <x v="3"/>
    <x v="2"/>
    <x v="0"/>
    <x v="22"/>
    <x v="3"/>
    <x v="8"/>
    <x v="2"/>
  </r>
  <r>
    <s v="TX501564"/>
    <x v="10"/>
    <x v="1"/>
    <n v="46.7"/>
    <n v="93.4"/>
    <x v="58"/>
    <d v="2025-02-28T00:00:00"/>
    <x v="2"/>
    <x v="0"/>
    <x v="0"/>
    <x v="0"/>
    <x v="34"/>
    <x v="7"/>
    <x v="8"/>
    <x v="2"/>
  </r>
  <r>
    <s v="TX501565"/>
    <x v="6"/>
    <x v="0"/>
    <n v="144.69999999999999"/>
    <n v="144.69999999999999"/>
    <x v="58"/>
    <d v="2025-03-03T00:00:00"/>
    <x v="1"/>
    <x v="0"/>
    <x v="2"/>
    <x v="0"/>
    <x v="3"/>
    <x v="2"/>
    <x v="8"/>
    <x v="1"/>
  </r>
  <r>
    <s v="TX501566"/>
    <x v="2"/>
    <x v="11"/>
    <n v="90.9"/>
    <n v="818.1"/>
    <x v="58"/>
    <d v="2025-03-01T00:00:00"/>
    <x v="1"/>
    <x v="0"/>
    <x v="2"/>
    <x v="0"/>
    <x v="3"/>
    <x v="3"/>
    <x v="8"/>
    <x v="1"/>
  </r>
  <r>
    <s v="TX501567"/>
    <x v="1"/>
    <x v="1"/>
    <n v="75.8"/>
    <n v="151.6"/>
    <x v="58"/>
    <d v="2025-03-01T00:00:00"/>
    <x v="2"/>
    <x v="2"/>
    <x v="1"/>
    <x v="0"/>
    <x v="3"/>
    <x v="3"/>
    <x v="8"/>
    <x v="2"/>
  </r>
  <r>
    <s v="TX501568"/>
    <x v="7"/>
    <x v="9"/>
    <n v="57.9"/>
    <n v="289.5"/>
    <x v="58"/>
    <d v="2025-03-02T00:00:00"/>
    <x v="1"/>
    <x v="2"/>
    <x v="2"/>
    <x v="0"/>
    <x v="3"/>
    <x v="1"/>
    <x v="8"/>
    <x v="1"/>
  </r>
  <r>
    <s v="TX501569"/>
    <x v="8"/>
    <x v="9"/>
    <n v="44.8"/>
    <n v="224"/>
    <x v="58"/>
    <d v="2025-03-01T00:00:00"/>
    <x v="2"/>
    <x v="3"/>
    <x v="2"/>
    <x v="0"/>
    <x v="3"/>
    <x v="3"/>
    <x v="8"/>
    <x v="2"/>
  </r>
  <r>
    <s v="TX501570"/>
    <x v="9"/>
    <x v="2"/>
    <n v="44.2"/>
    <n v="132.60000000000002"/>
    <x v="58"/>
    <d v="2025-03-04T00:00:00"/>
    <x v="1"/>
    <x v="2"/>
    <x v="2"/>
    <x v="0"/>
    <x v="3"/>
    <x v="5"/>
    <x v="8"/>
    <x v="1"/>
  </r>
  <r>
    <s v="TX501571"/>
    <x v="5"/>
    <x v="9"/>
    <n v="53.5"/>
    <n v="267.5"/>
    <x v="58"/>
    <d v="2025-03-02T00:00:00"/>
    <x v="1"/>
    <x v="0"/>
    <x v="0"/>
    <x v="0"/>
    <x v="37"/>
    <x v="1"/>
    <x v="8"/>
    <x v="1"/>
  </r>
  <r>
    <s v="TX501572"/>
    <x v="6"/>
    <x v="1"/>
    <n v="72.2"/>
    <n v="144.4"/>
    <x v="58"/>
    <d v="2025-03-01T00:00:00"/>
    <x v="1"/>
    <x v="0"/>
    <x v="2"/>
    <x v="0"/>
    <x v="25"/>
    <x v="3"/>
    <x v="8"/>
    <x v="1"/>
  </r>
  <r>
    <s v="TX501573"/>
    <x v="6"/>
    <x v="12"/>
    <n v="62.4"/>
    <n v="249.6"/>
    <x v="58"/>
    <d v="2025-03-03T00:00:00"/>
    <x v="2"/>
    <x v="0"/>
    <x v="1"/>
    <x v="0"/>
    <x v="23"/>
    <x v="2"/>
    <x v="8"/>
    <x v="2"/>
  </r>
  <r>
    <s v="TX501574"/>
    <x v="10"/>
    <x v="9"/>
    <n v="24.7"/>
    <n v="123.5"/>
    <x v="58"/>
    <d v="2025-03-01T00:00:00"/>
    <x v="2"/>
    <x v="0"/>
    <x v="0"/>
    <x v="0"/>
    <x v="6"/>
    <x v="3"/>
    <x v="8"/>
    <x v="2"/>
  </r>
  <r>
    <s v="TX501575"/>
    <x v="1"/>
    <x v="9"/>
    <n v="61.7"/>
    <n v="308.5"/>
    <x v="58"/>
    <d v="2025-03-02T00:00:00"/>
    <x v="2"/>
    <x v="2"/>
    <x v="0"/>
    <x v="0"/>
    <x v="8"/>
    <x v="1"/>
    <x v="8"/>
    <x v="2"/>
  </r>
  <r>
    <s v="TX501576"/>
    <x v="8"/>
    <x v="9"/>
    <n v="18.2"/>
    <n v="91"/>
    <x v="58"/>
    <d v="2025-03-02T00:00:00"/>
    <x v="2"/>
    <x v="3"/>
    <x v="0"/>
    <x v="0"/>
    <x v="8"/>
    <x v="1"/>
    <x v="8"/>
    <x v="2"/>
  </r>
  <r>
    <s v="TX501577"/>
    <x v="10"/>
    <x v="12"/>
    <n v="37.200000000000003"/>
    <n v="148.80000000000001"/>
    <x v="58"/>
    <d v="2025-03-06T00:00:00"/>
    <x v="2"/>
    <x v="0"/>
    <x v="0"/>
    <x v="0"/>
    <x v="8"/>
    <x v="4"/>
    <x v="8"/>
    <x v="2"/>
  </r>
  <r>
    <s v="TX501578"/>
    <x v="9"/>
    <x v="2"/>
    <n v="53.5"/>
    <n v="160.5"/>
    <x v="58"/>
    <d v="2025-03-02T00:00:00"/>
    <x v="2"/>
    <x v="1"/>
    <x v="2"/>
    <x v="0"/>
    <x v="9"/>
    <x v="1"/>
    <x v="8"/>
    <x v="2"/>
  </r>
  <r>
    <s v="TX501579"/>
    <x v="8"/>
    <x v="2"/>
    <n v="43.6"/>
    <n v="130.80000000000001"/>
    <x v="58"/>
    <d v="2025-02-28T00:00:00"/>
    <x v="2"/>
    <x v="0"/>
    <x v="0"/>
    <x v="0"/>
    <x v="9"/>
    <x v="7"/>
    <x v="8"/>
    <x v="2"/>
  </r>
  <r>
    <s v="TX501580"/>
    <x v="1"/>
    <x v="7"/>
    <n v="135"/>
    <n v="1350"/>
    <x v="58"/>
    <d v="2025-03-02T00:00:00"/>
    <x v="2"/>
    <x v="0"/>
    <x v="2"/>
    <x v="0"/>
    <x v="9"/>
    <x v="1"/>
    <x v="8"/>
    <x v="2"/>
  </r>
  <r>
    <s v="TX501581"/>
    <x v="8"/>
    <x v="9"/>
    <n v="38.5"/>
    <n v="192.5"/>
    <x v="58"/>
    <d v="2025-02-28T00:00:00"/>
    <x v="1"/>
    <x v="4"/>
    <x v="2"/>
    <x v="0"/>
    <x v="10"/>
    <x v="7"/>
    <x v="8"/>
    <x v="1"/>
  </r>
  <r>
    <s v="TX501582"/>
    <x v="9"/>
    <x v="1"/>
    <n v="24"/>
    <n v="48"/>
    <x v="58"/>
    <d v="2025-03-05T00:00:00"/>
    <x v="2"/>
    <x v="0"/>
    <x v="0"/>
    <x v="0"/>
    <x v="11"/>
    <x v="0"/>
    <x v="8"/>
    <x v="2"/>
  </r>
  <r>
    <s v="TX501583"/>
    <x v="4"/>
    <x v="2"/>
    <n v="28.2"/>
    <n v="84.6"/>
    <x v="58"/>
    <d v="2025-03-02T00:00:00"/>
    <x v="1"/>
    <x v="0"/>
    <x v="3"/>
    <x v="0"/>
    <x v="18"/>
    <x v="1"/>
    <x v="8"/>
    <x v="1"/>
  </r>
  <r>
    <s v="TX501584"/>
    <x v="7"/>
    <x v="2"/>
    <n v="37.4"/>
    <n v="112.19999999999999"/>
    <x v="58"/>
    <d v="2025-03-01T00:00:00"/>
    <x v="2"/>
    <x v="3"/>
    <x v="0"/>
    <x v="0"/>
    <x v="1"/>
    <x v="3"/>
    <x v="8"/>
    <x v="2"/>
  </r>
  <r>
    <s v="TX501585"/>
    <x v="6"/>
    <x v="2"/>
    <n v="53.5"/>
    <n v="160.5"/>
    <x v="58"/>
    <d v="2025-03-03T00:00:00"/>
    <x v="0"/>
    <x v="4"/>
    <x v="4"/>
    <x v="0"/>
    <x v="1"/>
    <x v="2"/>
    <x v="8"/>
    <x v="0"/>
  </r>
  <r>
    <s v="TX501586"/>
    <x v="11"/>
    <x v="9"/>
    <n v="36.200000000000003"/>
    <n v="181"/>
    <x v="58"/>
    <d v="2025-03-01T00:00:00"/>
    <x v="1"/>
    <x v="1"/>
    <x v="2"/>
    <x v="0"/>
    <x v="33"/>
    <x v="3"/>
    <x v="8"/>
    <x v="1"/>
  </r>
  <r>
    <s v="TX501587"/>
    <x v="0"/>
    <x v="8"/>
    <n v="31.9"/>
    <n v="255.2"/>
    <x v="58"/>
    <d v="2025-03-01T00:00:00"/>
    <x v="2"/>
    <x v="4"/>
    <x v="0"/>
    <x v="0"/>
    <x v="3"/>
    <x v="3"/>
    <x v="8"/>
    <x v="2"/>
  </r>
  <r>
    <s v="TX501588"/>
    <x v="8"/>
    <x v="2"/>
    <n v="21.3"/>
    <n v="63.900000000000006"/>
    <x v="58"/>
    <d v="2025-03-01T00:00:00"/>
    <x v="1"/>
    <x v="0"/>
    <x v="2"/>
    <x v="0"/>
    <x v="3"/>
    <x v="3"/>
    <x v="8"/>
    <x v="1"/>
  </r>
  <r>
    <s v="TX501589"/>
    <x v="8"/>
    <x v="0"/>
    <n v="36.299999999999997"/>
    <n v="36.299999999999997"/>
    <x v="58"/>
    <d v="2025-03-02T00:00:00"/>
    <x v="3"/>
    <x v="4"/>
    <x v="0"/>
    <x v="0"/>
    <x v="3"/>
    <x v="1"/>
    <x v="8"/>
    <x v="3"/>
  </r>
  <r>
    <s v="TX501590"/>
    <x v="6"/>
    <x v="2"/>
    <n v="110.5"/>
    <n v="331.5"/>
    <x v="58"/>
    <d v="2025-03-01T00:00:00"/>
    <x v="2"/>
    <x v="0"/>
    <x v="3"/>
    <x v="0"/>
    <x v="3"/>
    <x v="3"/>
    <x v="8"/>
    <x v="2"/>
  </r>
  <r>
    <s v="TX501591"/>
    <x v="10"/>
    <x v="3"/>
    <n v="32.6"/>
    <n v="228.20000000000002"/>
    <x v="58"/>
    <d v="2025-03-02T00:00:00"/>
    <x v="2"/>
    <x v="0"/>
    <x v="1"/>
    <x v="0"/>
    <x v="3"/>
    <x v="1"/>
    <x v="8"/>
    <x v="2"/>
  </r>
  <r>
    <s v="TX501592"/>
    <x v="5"/>
    <x v="2"/>
    <n v="55.6"/>
    <n v="166.8"/>
    <x v="59"/>
    <d v="2025-03-14T00:00:00"/>
    <x v="2"/>
    <x v="0"/>
    <x v="0"/>
    <x v="0"/>
    <x v="3"/>
    <x v="10"/>
    <x v="8"/>
    <x v="2"/>
  </r>
  <r>
    <s v="TX501593"/>
    <x v="1"/>
    <x v="12"/>
    <n v="38"/>
    <n v="152"/>
    <x v="59"/>
    <d v="2025-03-02T00:00:00"/>
    <x v="2"/>
    <x v="3"/>
    <x v="2"/>
    <x v="0"/>
    <x v="5"/>
    <x v="3"/>
    <x v="8"/>
    <x v="2"/>
  </r>
  <r>
    <s v="TX501594"/>
    <x v="10"/>
    <x v="1"/>
    <n v="51.8"/>
    <n v="103.6"/>
    <x v="59"/>
    <d v="2025-03-07T00:00:00"/>
    <x v="1"/>
    <x v="1"/>
    <x v="4"/>
    <x v="0"/>
    <x v="6"/>
    <x v="4"/>
    <x v="8"/>
    <x v="1"/>
  </r>
  <r>
    <s v="TX501595"/>
    <x v="11"/>
    <x v="8"/>
    <n v="28.7"/>
    <n v="229.6"/>
    <x v="59"/>
    <d v="2025-03-06T00:00:00"/>
    <x v="2"/>
    <x v="0"/>
    <x v="0"/>
    <x v="0"/>
    <x v="6"/>
    <x v="0"/>
    <x v="8"/>
    <x v="2"/>
  </r>
  <r>
    <s v="TX501596"/>
    <x v="6"/>
    <x v="4"/>
    <n v="52.2"/>
    <n v="626.40000000000009"/>
    <x v="59"/>
    <d v="2025-03-01T00:00:00"/>
    <x v="1"/>
    <x v="0"/>
    <x v="1"/>
    <x v="0"/>
    <x v="6"/>
    <x v="7"/>
    <x v="8"/>
    <x v="1"/>
  </r>
  <r>
    <s v="TX501597"/>
    <x v="1"/>
    <x v="1"/>
    <n v="68.2"/>
    <n v="136.4"/>
    <x v="59"/>
    <d v="2025-03-02T00:00:00"/>
    <x v="0"/>
    <x v="2"/>
    <x v="0"/>
    <x v="0"/>
    <x v="7"/>
    <x v="3"/>
    <x v="8"/>
    <x v="0"/>
  </r>
  <r>
    <s v="TX501598"/>
    <x v="0"/>
    <x v="2"/>
    <n v="34"/>
    <n v="102"/>
    <x v="59"/>
    <d v="2025-03-05T00:00:00"/>
    <x v="2"/>
    <x v="0"/>
    <x v="0"/>
    <x v="0"/>
    <x v="8"/>
    <x v="5"/>
    <x v="8"/>
    <x v="2"/>
  </r>
  <r>
    <s v="TX501599"/>
    <x v="8"/>
    <x v="2"/>
    <n v="19.100000000000001"/>
    <n v="57.300000000000004"/>
    <x v="59"/>
    <d v="2025-03-02T00:00:00"/>
    <x v="2"/>
    <x v="4"/>
    <x v="0"/>
    <x v="0"/>
    <x v="8"/>
    <x v="3"/>
    <x v="8"/>
    <x v="2"/>
  </r>
  <r>
    <s v="TX501600"/>
    <x v="5"/>
    <x v="8"/>
    <n v="34"/>
    <n v="272"/>
    <x v="59"/>
    <d v="2025-03-09T00:00:00"/>
    <x v="2"/>
    <x v="4"/>
    <x v="0"/>
    <x v="0"/>
    <x v="8"/>
    <x v="9"/>
    <x v="8"/>
    <x v="2"/>
  </r>
  <r>
    <s v="TX501601"/>
    <x v="12"/>
    <x v="1"/>
    <n v="109.1"/>
    <n v="218.2"/>
    <x v="59"/>
    <d v="2025-03-03T00:00:00"/>
    <x v="1"/>
    <x v="0"/>
    <x v="2"/>
    <x v="0"/>
    <x v="8"/>
    <x v="1"/>
    <x v="8"/>
    <x v="1"/>
  </r>
  <r>
    <s v="TX501602"/>
    <x v="18"/>
    <x v="1"/>
    <n v="64.8"/>
    <n v="129.6"/>
    <x v="59"/>
    <d v="2025-03-03T00:00:00"/>
    <x v="1"/>
    <x v="0"/>
    <x v="2"/>
    <x v="0"/>
    <x v="8"/>
    <x v="1"/>
    <x v="8"/>
    <x v="1"/>
  </r>
  <r>
    <s v="TX501603"/>
    <x v="10"/>
    <x v="1"/>
    <n v="21.1"/>
    <n v="42.2"/>
    <x v="59"/>
    <d v="2025-03-01T00:00:00"/>
    <x v="2"/>
    <x v="1"/>
    <x v="0"/>
    <x v="0"/>
    <x v="11"/>
    <x v="7"/>
    <x v="8"/>
    <x v="2"/>
  </r>
  <r>
    <s v="TX501604"/>
    <x v="0"/>
    <x v="8"/>
    <n v="21.3"/>
    <n v="170.4"/>
    <x v="59"/>
    <d v="2025-03-03T00:00:00"/>
    <x v="1"/>
    <x v="3"/>
    <x v="1"/>
    <x v="0"/>
    <x v="18"/>
    <x v="1"/>
    <x v="8"/>
    <x v="1"/>
  </r>
  <r>
    <s v="TX501605"/>
    <x v="9"/>
    <x v="2"/>
    <n v="24.3"/>
    <n v="72.900000000000006"/>
    <x v="59"/>
    <d v="2025-03-02T00:00:00"/>
    <x v="1"/>
    <x v="1"/>
    <x v="0"/>
    <x v="0"/>
    <x v="19"/>
    <x v="3"/>
    <x v="8"/>
    <x v="1"/>
  </r>
  <r>
    <s v="TX501606"/>
    <x v="8"/>
    <x v="0"/>
    <n v="43.3"/>
    <n v="43.3"/>
    <x v="59"/>
    <d v="2025-03-05T00:00:00"/>
    <x v="1"/>
    <x v="1"/>
    <x v="1"/>
    <x v="0"/>
    <x v="13"/>
    <x v="5"/>
    <x v="8"/>
    <x v="1"/>
  </r>
  <r>
    <s v="TX501607"/>
    <x v="9"/>
    <x v="2"/>
    <n v="41"/>
    <n v="123"/>
    <x v="59"/>
    <d v="2025-03-02T00:00:00"/>
    <x v="2"/>
    <x v="3"/>
    <x v="4"/>
    <x v="0"/>
    <x v="21"/>
    <x v="3"/>
    <x v="8"/>
    <x v="2"/>
  </r>
  <r>
    <s v="TX501608"/>
    <x v="16"/>
    <x v="2"/>
    <n v="54.1"/>
    <n v="162.30000000000001"/>
    <x v="59"/>
    <d v="2025-03-03T00:00:00"/>
    <x v="2"/>
    <x v="4"/>
    <x v="0"/>
    <x v="0"/>
    <x v="21"/>
    <x v="1"/>
    <x v="8"/>
    <x v="2"/>
  </r>
  <r>
    <s v="TX501609"/>
    <x v="11"/>
    <x v="1"/>
    <n v="39"/>
    <n v="78"/>
    <x v="59"/>
    <d v="2025-03-02T00:00:00"/>
    <x v="1"/>
    <x v="1"/>
    <x v="2"/>
    <x v="0"/>
    <x v="1"/>
    <x v="3"/>
    <x v="8"/>
    <x v="1"/>
  </r>
  <r>
    <s v="TX501610"/>
    <x v="8"/>
    <x v="1"/>
    <n v="40.299999999999997"/>
    <n v="80.599999999999994"/>
    <x v="59"/>
    <d v="2025-03-03T00:00:00"/>
    <x v="1"/>
    <x v="3"/>
    <x v="0"/>
    <x v="0"/>
    <x v="27"/>
    <x v="1"/>
    <x v="8"/>
    <x v="1"/>
  </r>
  <r>
    <s v="TX501611"/>
    <x v="8"/>
    <x v="2"/>
    <n v="24.1"/>
    <n v="72.300000000000011"/>
    <x v="59"/>
    <d v="2025-03-02T00:00:00"/>
    <x v="1"/>
    <x v="0"/>
    <x v="2"/>
    <x v="0"/>
    <x v="34"/>
    <x v="3"/>
    <x v="8"/>
    <x v="1"/>
  </r>
  <r>
    <s v="TX501612"/>
    <x v="6"/>
    <x v="9"/>
    <n v="52.3"/>
    <n v="261.5"/>
    <x v="59"/>
    <d v="2025-03-02T00:00:00"/>
    <x v="1"/>
    <x v="2"/>
    <x v="0"/>
    <x v="0"/>
    <x v="3"/>
    <x v="3"/>
    <x v="8"/>
    <x v="1"/>
  </r>
  <r>
    <s v="TX501613"/>
    <x v="12"/>
    <x v="12"/>
    <n v="68.8"/>
    <n v="275.2"/>
    <x v="59"/>
    <d v="2025-03-05T00:00:00"/>
    <x v="2"/>
    <x v="4"/>
    <x v="2"/>
    <x v="0"/>
    <x v="3"/>
    <x v="5"/>
    <x v="8"/>
    <x v="2"/>
  </r>
  <r>
    <s v="TX501614"/>
    <x v="2"/>
    <x v="1"/>
    <n v="128.80000000000001"/>
    <n v="257.60000000000002"/>
    <x v="60"/>
    <d v="2025-03-05T00:00:00"/>
    <x v="2"/>
    <x v="1"/>
    <x v="1"/>
    <x v="0"/>
    <x v="3"/>
    <x v="2"/>
    <x v="9"/>
    <x v="2"/>
  </r>
  <r>
    <s v="TX501615"/>
    <x v="15"/>
    <x v="9"/>
    <n v="48.2"/>
    <n v="241"/>
    <x v="60"/>
    <d v="2025-03-04T00:00:00"/>
    <x v="2"/>
    <x v="3"/>
    <x v="0"/>
    <x v="0"/>
    <x v="3"/>
    <x v="1"/>
    <x v="9"/>
    <x v="2"/>
  </r>
  <r>
    <s v="TX501616"/>
    <x v="10"/>
    <x v="0"/>
    <n v="39.700000000000003"/>
    <n v="39.700000000000003"/>
    <x v="60"/>
    <d v="2025-03-04T00:00:00"/>
    <x v="2"/>
    <x v="0"/>
    <x v="1"/>
    <x v="0"/>
    <x v="3"/>
    <x v="1"/>
    <x v="9"/>
    <x v="2"/>
  </r>
  <r>
    <s v="TX501617"/>
    <x v="9"/>
    <x v="0"/>
    <n v="59.7"/>
    <n v="59.7"/>
    <x v="60"/>
    <d v="2025-03-05T00:00:00"/>
    <x v="2"/>
    <x v="4"/>
    <x v="0"/>
    <x v="0"/>
    <x v="3"/>
    <x v="2"/>
    <x v="9"/>
    <x v="2"/>
  </r>
  <r>
    <s v="TX501618"/>
    <x v="6"/>
    <x v="0"/>
    <n v="48.3"/>
    <n v="48.3"/>
    <x v="60"/>
    <d v="2025-03-16T00:00:00"/>
    <x v="3"/>
    <x v="0"/>
    <x v="2"/>
    <x v="0"/>
    <x v="3"/>
    <x v="12"/>
    <x v="9"/>
    <x v="3"/>
  </r>
  <r>
    <s v="TX501619"/>
    <x v="8"/>
    <x v="2"/>
    <n v="45.5"/>
    <n v="136.5"/>
    <x v="60"/>
    <d v="2025-03-04T00:00:00"/>
    <x v="1"/>
    <x v="2"/>
    <x v="1"/>
    <x v="0"/>
    <x v="3"/>
    <x v="1"/>
    <x v="9"/>
    <x v="1"/>
  </r>
  <r>
    <s v="TX501620"/>
    <x v="9"/>
    <x v="6"/>
    <n v="51"/>
    <n v="1377"/>
    <x v="60"/>
    <d v="2025-03-02T00:00:00"/>
    <x v="2"/>
    <x v="2"/>
    <x v="0"/>
    <x v="0"/>
    <x v="3"/>
    <x v="7"/>
    <x v="9"/>
    <x v="2"/>
  </r>
  <r>
    <s v="TX501621"/>
    <x v="4"/>
    <x v="13"/>
    <n v="20.399999999999999"/>
    <n v="122.39999999999999"/>
    <x v="60"/>
    <d v="2025-03-03T00:00:00"/>
    <x v="1"/>
    <x v="2"/>
    <x v="0"/>
    <x v="0"/>
    <x v="3"/>
    <x v="3"/>
    <x v="9"/>
    <x v="1"/>
  </r>
  <r>
    <s v="TX501622"/>
    <x v="10"/>
    <x v="1"/>
    <n v="30.4"/>
    <n v="60.8"/>
    <x v="60"/>
    <d v="2025-03-04T00:00:00"/>
    <x v="1"/>
    <x v="2"/>
    <x v="0"/>
    <x v="0"/>
    <x v="3"/>
    <x v="1"/>
    <x v="9"/>
    <x v="1"/>
  </r>
  <r>
    <s v="TX501623"/>
    <x v="7"/>
    <x v="1"/>
    <n v="71.5"/>
    <n v="143"/>
    <x v="60"/>
    <d v="2025-03-06T00:00:00"/>
    <x v="2"/>
    <x v="0"/>
    <x v="0"/>
    <x v="0"/>
    <x v="3"/>
    <x v="5"/>
    <x v="9"/>
    <x v="2"/>
  </r>
  <r>
    <s v="TX501624"/>
    <x v="8"/>
    <x v="13"/>
    <n v="18"/>
    <n v="108"/>
    <x v="60"/>
    <d v="2025-03-03T00:00:00"/>
    <x v="3"/>
    <x v="1"/>
    <x v="2"/>
    <x v="0"/>
    <x v="6"/>
    <x v="3"/>
    <x v="9"/>
    <x v="3"/>
  </r>
  <r>
    <s v="TX501625"/>
    <x v="15"/>
    <x v="5"/>
    <n v="45.6"/>
    <n v="501.6"/>
    <x v="60"/>
    <d v="2025-03-03T00:00:00"/>
    <x v="3"/>
    <x v="1"/>
    <x v="1"/>
    <x v="0"/>
    <x v="7"/>
    <x v="3"/>
    <x v="9"/>
    <x v="3"/>
  </r>
  <r>
    <s v="TX501626"/>
    <x v="9"/>
    <x v="0"/>
    <n v="31.8"/>
    <n v="31.8"/>
    <x v="60"/>
    <d v="2025-03-06T00:00:00"/>
    <x v="2"/>
    <x v="0"/>
    <x v="2"/>
    <x v="0"/>
    <x v="7"/>
    <x v="5"/>
    <x v="9"/>
    <x v="2"/>
  </r>
  <r>
    <s v="TX501627"/>
    <x v="8"/>
    <x v="9"/>
    <n v="19.899999999999999"/>
    <n v="99.5"/>
    <x v="60"/>
    <d v="2025-03-03T00:00:00"/>
    <x v="2"/>
    <x v="1"/>
    <x v="0"/>
    <x v="0"/>
    <x v="7"/>
    <x v="3"/>
    <x v="9"/>
    <x v="2"/>
  </r>
  <r>
    <s v="TX501628"/>
    <x v="12"/>
    <x v="11"/>
    <n v="52.1"/>
    <n v="468.90000000000003"/>
    <x v="60"/>
    <d v="2025-03-04T00:00:00"/>
    <x v="1"/>
    <x v="0"/>
    <x v="0"/>
    <x v="0"/>
    <x v="8"/>
    <x v="1"/>
    <x v="9"/>
    <x v="1"/>
  </r>
  <r>
    <s v="TX501629"/>
    <x v="1"/>
    <x v="3"/>
    <n v="45.9"/>
    <n v="321.3"/>
    <x v="60"/>
    <d v="2025-03-03T00:00:00"/>
    <x v="1"/>
    <x v="0"/>
    <x v="1"/>
    <x v="0"/>
    <x v="8"/>
    <x v="3"/>
    <x v="9"/>
    <x v="1"/>
  </r>
  <r>
    <s v="TX501630"/>
    <x v="1"/>
    <x v="7"/>
    <n v="115.9"/>
    <n v="1159"/>
    <x v="60"/>
    <d v="2025-03-05T00:00:00"/>
    <x v="2"/>
    <x v="1"/>
    <x v="0"/>
    <x v="0"/>
    <x v="8"/>
    <x v="2"/>
    <x v="9"/>
    <x v="2"/>
  </r>
  <r>
    <s v="TX501631"/>
    <x v="6"/>
    <x v="11"/>
    <n v="86"/>
    <n v="774"/>
    <x v="60"/>
    <d v="2025-03-07T00:00:00"/>
    <x v="2"/>
    <x v="0"/>
    <x v="1"/>
    <x v="0"/>
    <x v="8"/>
    <x v="0"/>
    <x v="9"/>
    <x v="2"/>
  </r>
  <r>
    <s v="TX501632"/>
    <x v="7"/>
    <x v="3"/>
    <n v="73.599999999999994"/>
    <n v="515.19999999999993"/>
    <x v="60"/>
    <d v="2025-03-04T00:00:00"/>
    <x v="2"/>
    <x v="0"/>
    <x v="0"/>
    <x v="0"/>
    <x v="17"/>
    <x v="1"/>
    <x v="9"/>
    <x v="2"/>
  </r>
  <r>
    <s v="TX501633"/>
    <x v="10"/>
    <x v="2"/>
    <n v="26.7"/>
    <n v="80.099999999999994"/>
    <x v="60"/>
    <d v="2025-03-06T00:00:00"/>
    <x v="2"/>
    <x v="0"/>
    <x v="0"/>
    <x v="0"/>
    <x v="11"/>
    <x v="5"/>
    <x v="9"/>
    <x v="2"/>
  </r>
  <r>
    <s v="TX501634"/>
    <x v="8"/>
    <x v="3"/>
    <n v="46.6"/>
    <n v="326.2"/>
    <x v="60"/>
    <d v="2025-03-04T00:00:00"/>
    <x v="0"/>
    <x v="3"/>
    <x v="0"/>
    <x v="0"/>
    <x v="11"/>
    <x v="1"/>
    <x v="9"/>
    <x v="0"/>
  </r>
  <r>
    <s v="TX501635"/>
    <x v="3"/>
    <x v="2"/>
    <n v="84.6"/>
    <n v="253.79999999999998"/>
    <x v="60"/>
    <d v="2025-03-04T00:00:00"/>
    <x v="1"/>
    <x v="4"/>
    <x v="0"/>
    <x v="0"/>
    <x v="11"/>
    <x v="1"/>
    <x v="9"/>
    <x v="1"/>
  </r>
  <r>
    <s v="TX501636"/>
    <x v="7"/>
    <x v="21"/>
    <n v="41.5"/>
    <n v="581"/>
    <x v="60"/>
    <d v="2025-03-16T00:00:00"/>
    <x v="1"/>
    <x v="1"/>
    <x v="0"/>
    <x v="0"/>
    <x v="53"/>
    <x v="12"/>
    <x v="9"/>
    <x v="1"/>
  </r>
  <r>
    <s v="TX501637"/>
    <x v="8"/>
    <x v="0"/>
    <n v="32.799999999999997"/>
    <n v="32.799999999999997"/>
    <x v="60"/>
    <d v="2025-03-05T00:00:00"/>
    <x v="1"/>
    <x v="0"/>
    <x v="2"/>
    <x v="0"/>
    <x v="30"/>
    <x v="2"/>
    <x v="9"/>
    <x v="1"/>
  </r>
  <r>
    <s v="TX501638"/>
    <x v="4"/>
    <x v="3"/>
    <n v="46.7"/>
    <n v="326.90000000000003"/>
    <x v="60"/>
    <d v="2025-03-04T00:00:00"/>
    <x v="3"/>
    <x v="0"/>
    <x v="2"/>
    <x v="0"/>
    <x v="18"/>
    <x v="1"/>
    <x v="9"/>
    <x v="3"/>
  </r>
  <r>
    <s v="TX501639"/>
    <x v="15"/>
    <x v="3"/>
    <n v="21"/>
    <n v="147"/>
    <x v="60"/>
    <d v="2025-03-05T00:00:00"/>
    <x v="1"/>
    <x v="2"/>
    <x v="1"/>
    <x v="0"/>
    <x v="21"/>
    <x v="2"/>
    <x v="9"/>
    <x v="1"/>
  </r>
  <r>
    <s v="TX501640"/>
    <x v="5"/>
    <x v="3"/>
    <n v="29.4"/>
    <n v="205.79999999999998"/>
    <x v="60"/>
    <d v="2025-03-02T00:00:00"/>
    <x v="1"/>
    <x v="3"/>
    <x v="2"/>
    <x v="0"/>
    <x v="21"/>
    <x v="7"/>
    <x v="9"/>
    <x v="1"/>
  </r>
  <r>
    <s v="TX501641"/>
    <x v="15"/>
    <x v="1"/>
    <n v="32.299999999999997"/>
    <n v="64.599999999999994"/>
    <x v="60"/>
    <d v="2025-03-03T00:00:00"/>
    <x v="1"/>
    <x v="0"/>
    <x v="2"/>
    <x v="0"/>
    <x v="21"/>
    <x v="3"/>
    <x v="9"/>
    <x v="1"/>
  </r>
  <r>
    <s v="TX501642"/>
    <x v="6"/>
    <x v="0"/>
    <n v="42.2"/>
    <n v="42.2"/>
    <x v="61"/>
    <d v="2025-03-05T00:00:00"/>
    <x v="2"/>
    <x v="0"/>
    <x v="2"/>
    <x v="0"/>
    <x v="21"/>
    <x v="1"/>
    <x v="9"/>
    <x v="2"/>
  </r>
  <r>
    <s v="TX501643"/>
    <x v="6"/>
    <x v="0"/>
    <n v="53.7"/>
    <n v="53.7"/>
    <x v="61"/>
    <d v="2025-03-05T00:00:00"/>
    <x v="1"/>
    <x v="1"/>
    <x v="1"/>
    <x v="0"/>
    <x v="1"/>
    <x v="1"/>
    <x v="9"/>
    <x v="1"/>
  </r>
  <r>
    <s v="TX501644"/>
    <x v="2"/>
    <x v="1"/>
    <n v="123.9"/>
    <n v="247.8"/>
    <x v="61"/>
    <d v="2025-03-06T00:00:00"/>
    <x v="1"/>
    <x v="2"/>
    <x v="0"/>
    <x v="0"/>
    <x v="1"/>
    <x v="2"/>
    <x v="9"/>
    <x v="1"/>
  </r>
  <r>
    <s v="TX501645"/>
    <x v="4"/>
    <x v="2"/>
    <n v="35.9"/>
    <n v="107.69999999999999"/>
    <x v="61"/>
    <d v="2025-03-05T00:00:00"/>
    <x v="1"/>
    <x v="2"/>
    <x v="0"/>
    <x v="0"/>
    <x v="22"/>
    <x v="1"/>
    <x v="9"/>
    <x v="1"/>
  </r>
  <r>
    <s v="TX501646"/>
    <x v="4"/>
    <x v="1"/>
    <n v="23.6"/>
    <n v="47.2"/>
    <x v="61"/>
    <d v="2025-03-06T00:00:00"/>
    <x v="1"/>
    <x v="0"/>
    <x v="2"/>
    <x v="0"/>
    <x v="3"/>
    <x v="2"/>
    <x v="9"/>
    <x v="1"/>
  </r>
  <r>
    <s v="TX501647"/>
    <x v="15"/>
    <x v="36"/>
    <n v="45.7"/>
    <n v="1599.5"/>
    <x v="61"/>
    <d v="2025-03-04T00:00:00"/>
    <x v="1"/>
    <x v="0"/>
    <x v="1"/>
    <x v="0"/>
    <x v="3"/>
    <x v="3"/>
    <x v="9"/>
    <x v="1"/>
  </r>
  <r>
    <s v="TX501648"/>
    <x v="6"/>
    <x v="5"/>
    <n v="118.3"/>
    <n v="1301.3"/>
    <x v="61"/>
    <d v="2025-03-05T00:00:00"/>
    <x v="1"/>
    <x v="4"/>
    <x v="2"/>
    <x v="0"/>
    <x v="3"/>
    <x v="1"/>
    <x v="9"/>
    <x v="1"/>
  </r>
  <r>
    <s v="TX501649"/>
    <x v="19"/>
    <x v="0"/>
    <n v="36"/>
    <n v="36"/>
    <x v="61"/>
    <d v="2025-03-04T00:00:00"/>
    <x v="2"/>
    <x v="0"/>
    <x v="1"/>
    <x v="0"/>
    <x v="3"/>
    <x v="3"/>
    <x v="9"/>
    <x v="2"/>
  </r>
  <r>
    <s v="TX501650"/>
    <x v="8"/>
    <x v="1"/>
    <n v="37.1"/>
    <n v="74.2"/>
    <x v="61"/>
    <d v="2025-03-06T00:00:00"/>
    <x v="2"/>
    <x v="2"/>
    <x v="0"/>
    <x v="0"/>
    <x v="3"/>
    <x v="2"/>
    <x v="9"/>
    <x v="2"/>
  </r>
  <r>
    <s v="TX501651"/>
    <x v="18"/>
    <x v="2"/>
    <n v="45.1"/>
    <n v="135.30000000000001"/>
    <x v="61"/>
    <d v="2025-03-05T00:00:00"/>
    <x v="2"/>
    <x v="1"/>
    <x v="2"/>
    <x v="0"/>
    <x v="3"/>
    <x v="1"/>
    <x v="9"/>
    <x v="2"/>
  </r>
  <r>
    <s v="TX501652"/>
    <x v="5"/>
    <x v="27"/>
    <n v="37.9"/>
    <n v="606.4"/>
    <x v="61"/>
    <d v="2025-03-04T00:00:00"/>
    <x v="2"/>
    <x v="3"/>
    <x v="2"/>
    <x v="0"/>
    <x v="3"/>
    <x v="3"/>
    <x v="9"/>
    <x v="2"/>
  </r>
  <r>
    <s v="TX501653"/>
    <x v="2"/>
    <x v="1"/>
    <n v="121.6"/>
    <n v="243.2"/>
    <x v="61"/>
    <d v="2025-03-06T00:00:00"/>
    <x v="1"/>
    <x v="3"/>
    <x v="2"/>
    <x v="0"/>
    <x v="3"/>
    <x v="2"/>
    <x v="9"/>
    <x v="1"/>
  </r>
  <r>
    <s v="TX501654"/>
    <x v="5"/>
    <x v="3"/>
    <n v="38.200000000000003"/>
    <n v="267.40000000000003"/>
    <x v="61"/>
    <d v="2025-03-06T00:00:00"/>
    <x v="2"/>
    <x v="0"/>
    <x v="0"/>
    <x v="0"/>
    <x v="3"/>
    <x v="2"/>
    <x v="9"/>
    <x v="2"/>
  </r>
  <r>
    <s v="TX501655"/>
    <x v="17"/>
    <x v="1"/>
    <n v="37.200000000000003"/>
    <n v="74.400000000000006"/>
    <x v="61"/>
    <d v="2025-03-06T00:00:00"/>
    <x v="1"/>
    <x v="4"/>
    <x v="0"/>
    <x v="0"/>
    <x v="3"/>
    <x v="2"/>
    <x v="9"/>
    <x v="1"/>
  </r>
  <r>
    <s v="TX501656"/>
    <x v="2"/>
    <x v="12"/>
    <n v="115.7"/>
    <n v="462.8"/>
    <x v="61"/>
    <d v="2025-03-06T00:00:00"/>
    <x v="2"/>
    <x v="1"/>
    <x v="0"/>
    <x v="0"/>
    <x v="3"/>
    <x v="2"/>
    <x v="9"/>
    <x v="2"/>
  </r>
  <r>
    <s v="TX501657"/>
    <x v="2"/>
    <x v="13"/>
    <n v="99.4"/>
    <n v="596.40000000000009"/>
    <x v="61"/>
    <d v="2025-03-06T00:00:00"/>
    <x v="1"/>
    <x v="0"/>
    <x v="2"/>
    <x v="0"/>
    <x v="3"/>
    <x v="2"/>
    <x v="9"/>
    <x v="1"/>
  </r>
  <r>
    <s v="TX501658"/>
    <x v="11"/>
    <x v="0"/>
    <n v="38.700000000000003"/>
    <n v="38.700000000000003"/>
    <x v="61"/>
    <d v="2025-03-04T00:00:00"/>
    <x v="2"/>
    <x v="2"/>
    <x v="0"/>
    <x v="0"/>
    <x v="25"/>
    <x v="3"/>
    <x v="9"/>
    <x v="2"/>
  </r>
  <r>
    <s v="TX501659"/>
    <x v="4"/>
    <x v="1"/>
    <n v="35.5"/>
    <n v="71"/>
    <x v="61"/>
    <d v="2025-03-06T00:00:00"/>
    <x v="1"/>
    <x v="0"/>
    <x v="2"/>
    <x v="0"/>
    <x v="25"/>
    <x v="2"/>
    <x v="9"/>
    <x v="1"/>
  </r>
  <r>
    <s v="TX501660"/>
    <x v="2"/>
    <x v="12"/>
    <n v="93.3"/>
    <n v="373.2"/>
    <x v="61"/>
    <d v="2025-03-06T00:00:00"/>
    <x v="2"/>
    <x v="0"/>
    <x v="2"/>
    <x v="0"/>
    <x v="6"/>
    <x v="2"/>
    <x v="9"/>
    <x v="2"/>
  </r>
  <r>
    <s v="TX501661"/>
    <x v="16"/>
    <x v="0"/>
    <n v="31.4"/>
    <n v="31.4"/>
    <x v="61"/>
    <d v="2025-03-08T00:00:00"/>
    <x v="2"/>
    <x v="2"/>
    <x v="2"/>
    <x v="0"/>
    <x v="6"/>
    <x v="0"/>
    <x v="9"/>
    <x v="2"/>
  </r>
  <r>
    <s v="TX501662"/>
    <x v="1"/>
    <x v="0"/>
    <n v="85.9"/>
    <n v="85.9"/>
    <x v="61"/>
    <d v="2025-03-06T00:00:00"/>
    <x v="1"/>
    <x v="1"/>
    <x v="0"/>
    <x v="0"/>
    <x v="6"/>
    <x v="2"/>
    <x v="9"/>
    <x v="1"/>
  </r>
  <r>
    <s v="TX501663"/>
    <x v="6"/>
    <x v="8"/>
    <n v="41.7"/>
    <n v="333.6"/>
    <x v="61"/>
    <d v="2025-03-11T00:00:00"/>
    <x v="1"/>
    <x v="0"/>
    <x v="2"/>
    <x v="0"/>
    <x v="7"/>
    <x v="9"/>
    <x v="9"/>
    <x v="1"/>
  </r>
  <r>
    <s v="TX501664"/>
    <x v="8"/>
    <x v="12"/>
    <n v="31.5"/>
    <n v="126"/>
    <x v="61"/>
    <d v="2025-03-04T00:00:00"/>
    <x v="2"/>
    <x v="0"/>
    <x v="0"/>
    <x v="0"/>
    <x v="7"/>
    <x v="3"/>
    <x v="9"/>
    <x v="2"/>
  </r>
  <r>
    <s v="TX501665"/>
    <x v="8"/>
    <x v="1"/>
    <n v="36.299999999999997"/>
    <n v="72.599999999999994"/>
    <x v="61"/>
    <d v="2025-03-04T00:00:00"/>
    <x v="2"/>
    <x v="0"/>
    <x v="4"/>
    <x v="0"/>
    <x v="8"/>
    <x v="3"/>
    <x v="9"/>
    <x v="2"/>
  </r>
  <r>
    <s v="TX501666"/>
    <x v="8"/>
    <x v="2"/>
    <n v="33.4"/>
    <n v="100.19999999999999"/>
    <x v="61"/>
    <d v="2025-03-04T00:00:00"/>
    <x v="2"/>
    <x v="3"/>
    <x v="0"/>
    <x v="0"/>
    <x v="17"/>
    <x v="3"/>
    <x v="9"/>
    <x v="2"/>
  </r>
  <r>
    <s v="TX501667"/>
    <x v="2"/>
    <x v="2"/>
    <n v="65.2"/>
    <n v="195.60000000000002"/>
    <x v="61"/>
    <d v="2025-03-04T00:00:00"/>
    <x v="2"/>
    <x v="2"/>
    <x v="2"/>
    <x v="0"/>
    <x v="26"/>
    <x v="3"/>
    <x v="9"/>
    <x v="2"/>
  </r>
  <r>
    <s v="TX501668"/>
    <x v="8"/>
    <x v="11"/>
    <n v="65.5"/>
    <n v="589.5"/>
    <x v="61"/>
    <d v="2025-03-06T00:00:00"/>
    <x v="2"/>
    <x v="0"/>
    <x v="2"/>
    <x v="0"/>
    <x v="9"/>
    <x v="2"/>
    <x v="9"/>
    <x v="2"/>
  </r>
  <r>
    <s v="TX501669"/>
    <x v="6"/>
    <x v="2"/>
    <n v="52.8"/>
    <n v="158.39999999999998"/>
    <x v="61"/>
    <d v="2025-03-06T00:00:00"/>
    <x v="1"/>
    <x v="2"/>
    <x v="0"/>
    <x v="0"/>
    <x v="9"/>
    <x v="2"/>
    <x v="9"/>
    <x v="1"/>
  </r>
  <r>
    <s v="TX501670"/>
    <x v="9"/>
    <x v="9"/>
    <n v="24"/>
    <n v="120"/>
    <x v="61"/>
    <d v="2025-03-07T00:00:00"/>
    <x v="1"/>
    <x v="0"/>
    <x v="1"/>
    <x v="0"/>
    <x v="11"/>
    <x v="5"/>
    <x v="9"/>
    <x v="1"/>
  </r>
  <r>
    <s v="TX501671"/>
    <x v="3"/>
    <x v="2"/>
    <n v="51.2"/>
    <n v="153.60000000000002"/>
    <x v="61"/>
    <d v="2025-03-04T00:00:00"/>
    <x v="2"/>
    <x v="0"/>
    <x v="0"/>
    <x v="0"/>
    <x v="32"/>
    <x v="3"/>
    <x v="9"/>
    <x v="2"/>
  </r>
  <r>
    <s v="TX501672"/>
    <x v="5"/>
    <x v="2"/>
    <n v="28.3"/>
    <n v="84.9"/>
    <x v="61"/>
    <d v="2025-03-05T00:00:00"/>
    <x v="1"/>
    <x v="4"/>
    <x v="0"/>
    <x v="0"/>
    <x v="19"/>
    <x v="1"/>
    <x v="9"/>
    <x v="1"/>
  </r>
  <r>
    <s v="TX501673"/>
    <x v="6"/>
    <x v="2"/>
    <n v="42.3"/>
    <n v="126.89999999999999"/>
    <x v="61"/>
    <d v="2025-03-03T00:00:00"/>
    <x v="2"/>
    <x v="2"/>
    <x v="1"/>
    <x v="0"/>
    <x v="19"/>
    <x v="7"/>
    <x v="9"/>
    <x v="2"/>
  </r>
  <r>
    <s v="TX501674"/>
    <x v="2"/>
    <x v="8"/>
    <n v="163.30000000000001"/>
    <n v="1306.4000000000001"/>
    <x v="62"/>
    <d v="2025-03-05T00:00:00"/>
    <x v="2"/>
    <x v="1"/>
    <x v="0"/>
    <x v="0"/>
    <x v="13"/>
    <x v="3"/>
    <x v="9"/>
    <x v="2"/>
  </r>
  <r>
    <s v="TX501675"/>
    <x v="6"/>
    <x v="3"/>
    <n v="47.3"/>
    <n v="331.09999999999997"/>
    <x v="62"/>
    <d v="2025-03-07T00:00:00"/>
    <x v="2"/>
    <x v="4"/>
    <x v="1"/>
    <x v="0"/>
    <x v="21"/>
    <x v="2"/>
    <x v="9"/>
    <x v="2"/>
  </r>
  <r>
    <s v="TX501676"/>
    <x v="8"/>
    <x v="27"/>
    <n v="27.3"/>
    <n v="436.8"/>
    <x v="62"/>
    <d v="2025-03-05T00:00:00"/>
    <x v="2"/>
    <x v="2"/>
    <x v="0"/>
    <x v="0"/>
    <x v="21"/>
    <x v="3"/>
    <x v="9"/>
    <x v="2"/>
  </r>
  <r>
    <s v="TX501677"/>
    <x v="10"/>
    <x v="13"/>
    <n v="34.9"/>
    <n v="209.39999999999998"/>
    <x v="62"/>
    <d v="2025-03-15T00:00:00"/>
    <x v="2"/>
    <x v="0"/>
    <x v="0"/>
    <x v="0"/>
    <x v="21"/>
    <x v="11"/>
    <x v="9"/>
    <x v="2"/>
  </r>
  <r>
    <s v="TX501678"/>
    <x v="6"/>
    <x v="1"/>
    <n v="53.9"/>
    <n v="107.8"/>
    <x v="62"/>
    <d v="2025-03-07T00:00:00"/>
    <x v="3"/>
    <x v="0"/>
    <x v="4"/>
    <x v="0"/>
    <x v="1"/>
    <x v="2"/>
    <x v="9"/>
    <x v="3"/>
  </r>
  <r>
    <s v="TX501679"/>
    <x v="2"/>
    <x v="1"/>
    <n v="87.2"/>
    <n v="174.4"/>
    <x v="62"/>
    <d v="2025-03-05T00:00:00"/>
    <x v="2"/>
    <x v="0"/>
    <x v="1"/>
    <x v="0"/>
    <x v="1"/>
    <x v="3"/>
    <x v="9"/>
    <x v="2"/>
  </r>
  <r>
    <s v="TX501680"/>
    <x v="15"/>
    <x v="0"/>
    <n v="58.8"/>
    <n v="58.8"/>
    <x v="62"/>
    <d v="2025-03-06T00:00:00"/>
    <x v="2"/>
    <x v="2"/>
    <x v="0"/>
    <x v="0"/>
    <x v="44"/>
    <x v="1"/>
    <x v="9"/>
    <x v="2"/>
  </r>
  <r>
    <s v="TX501681"/>
    <x v="2"/>
    <x v="3"/>
    <n v="125.5"/>
    <n v="878.5"/>
    <x v="62"/>
    <d v="2025-03-05T00:00:00"/>
    <x v="1"/>
    <x v="2"/>
    <x v="4"/>
    <x v="0"/>
    <x v="22"/>
    <x v="3"/>
    <x v="9"/>
    <x v="1"/>
  </r>
  <r>
    <s v="TX501682"/>
    <x v="1"/>
    <x v="12"/>
    <n v="124.6"/>
    <n v="498.4"/>
    <x v="62"/>
    <d v="2025-03-06T00:00:00"/>
    <x v="2"/>
    <x v="0"/>
    <x v="1"/>
    <x v="0"/>
    <x v="22"/>
    <x v="1"/>
    <x v="9"/>
    <x v="2"/>
  </r>
  <r>
    <s v="TX501683"/>
    <x v="1"/>
    <x v="3"/>
    <n v="39.9"/>
    <n v="279.3"/>
    <x v="62"/>
    <d v="2025-03-05T00:00:00"/>
    <x v="1"/>
    <x v="2"/>
    <x v="1"/>
    <x v="0"/>
    <x v="3"/>
    <x v="3"/>
    <x v="9"/>
    <x v="1"/>
  </r>
  <r>
    <s v="TX501684"/>
    <x v="6"/>
    <x v="0"/>
    <n v="94.6"/>
    <n v="94.6"/>
    <x v="62"/>
    <d v="2025-03-18T00:00:00"/>
    <x v="2"/>
    <x v="0"/>
    <x v="1"/>
    <x v="0"/>
    <x v="3"/>
    <x v="12"/>
    <x v="9"/>
    <x v="2"/>
  </r>
  <r>
    <s v="TX501685"/>
    <x v="2"/>
    <x v="1"/>
    <n v="149.6"/>
    <n v="299.2"/>
    <x v="62"/>
    <d v="2025-03-05T00:00:00"/>
    <x v="2"/>
    <x v="0"/>
    <x v="0"/>
    <x v="0"/>
    <x v="3"/>
    <x v="3"/>
    <x v="9"/>
    <x v="2"/>
  </r>
  <r>
    <s v="TX501686"/>
    <x v="8"/>
    <x v="0"/>
    <n v="52.2"/>
    <n v="52.2"/>
    <x v="62"/>
    <d v="2025-03-05T00:00:00"/>
    <x v="0"/>
    <x v="1"/>
    <x v="0"/>
    <x v="0"/>
    <x v="3"/>
    <x v="3"/>
    <x v="9"/>
    <x v="0"/>
  </r>
  <r>
    <s v="TX501687"/>
    <x v="6"/>
    <x v="1"/>
    <n v="96.5"/>
    <n v="193"/>
    <x v="62"/>
    <d v="2025-03-05T00:00:00"/>
    <x v="2"/>
    <x v="1"/>
    <x v="1"/>
    <x v="0"/>
    <x v="3"/>
    <x v="3"/>
    <x v="9"/>
    <x v="2"/>
  </r>
  <r>
    <s v="TX501688"/>
    <x v="8"/>
    <x v="1"/>
    <n v="79.8"/>
    <n v="159.6"/>
    <x v="62"/>
    <d v="2025-03-06T00:00:00"/>
    <x v="2"/>
    <x v="0"/>
    <x v="1"/>
    <x v="0"/>
    <x v="3"/>
    <x v="1"/>
    <x v="9"/>
    <x v="2"/>
  </r>
  <r>
    <s v="TX501689"/>
    <x v="8"/>
    <x v="2"/>
    <n v="35.6"/>
    <n v="106.80000000000001"/>
    <x v="62"/>
    <d v="2025-03-05T00:00:00"/>
    <x v="2"/>
    <x v="2"/>
    <x v="0"/>
    <x v="0"/>
    <x v="3"/>
    <x v="3"/>
    <x v="9"/>
    <x v="2"/>
  </r>
  <r>
    <s v="TX501690"/>
    <x v="16"/>
    <x v="0"/>
    <n v="50.2"/>
    <n v="50.2"/>
    <x v="62"/>
    <d v="2025-03-05T00:00:00"/>
    <x v="2"/>
    <x v="1"/>
    <x v="2"/>
    <x v="0"/>
    <x v="3"/>
    <x v="3"/>
    <x v="9"/>
    <x v="2"/>
  </r>
  <r>
    <s v="TX501691"/>
    <x v="1"/>
    <x v="2"/>
    <n v="55.3"/>
    <n v="165.89999999999998"/>
    <x v="62"/>
    <d v="2025-03-07T00:00:00"/>
    <x v="2"/>
    <x v="0"/>
    <x v="4"/>
    <x v="0"/>
    <x v="40"/>
    <x v="2"/>
    <x v="9"/>
    <x v="2"/>
  </r>
  <r>
    <s v="TX501692"/>
    <x v="6"/>
    <x v="3"/>
    <n v="104.5"/>
    <n v="731.5"/>
    <x v="62"/>
    <d v="2025-03-08T00:00:00"/>
    <x v="2"/>
    <x v="1"/>
    <x v="0"/>
    <x v="0"/>
    <x v="7"/>
    <x v="5"/>
    <x v="9"/>
    <x v="2"/>
  </r>
  <r>
    <s v="TX501693"/>
    <x v="6"/>
    <x v="12"/>
    <n v="66.5"/>
    <n v="266"/>
    <x v="62"/>
    <d v="2025-03-06T00:00:00"/>
    <x v="1"/>
    <x v="1"/>
    <x v="0"/>
    <x v="0"/>
    <x v="7"/>
    <x v="1"/>
    <x v="9"/>
    <x v="1"/>
  </r>
  <r>
    <s v="TX501694"/>
    <x v="10"/>
    <x v="8"/>
    <n v="38.299999999999997"/>
    <n v="306.39999999999998"/>
    <x v="62"/>
    <d v="2025-03-05T00:00:00"/>
    <x v="2"/>
    <x v="0"/>
    <x v="0"/>
    <x v="0"/>
    <x v="7"/>
    <x v="3"/>
    <x v="9"/>
    <x v="2"/>
  </r>
  <r>
    <s v="TX501695"/>
    <x v="6"/>
    <x v="2"/>
    <n v="63.8"/>
    <n v="191.39999999999998"/>
    <x v="62"/>
    <d v="2025-03-07T00:00:00"/>
    <x v="2"/>
    <x v="1"/>
    <x v="0"/>
    <x v="0"/>
    <x v="8"/>
    <x v="2"/>
    <x v="9"/>
    <x v="2"/>
  </r>
  <r>
    <s v="TX501696"/>
    <x v="15"/>
    <x v="0"/>
    <n v="21.4"/>
    <n v="21.4"/>
    <x v="62"/>
    <d v="2025-03-04T00:00:00"/>
    <x v="1"/>
    <x v="4"/>
    <x v="0"/>
    <x v="0"/>
    <x v="8"/>
    <x v="7"/>
    <x v="9"/>
    <x v="1"/>
  </r>
  <r>
    <s v="TX501697"/>
    <x v="8"/>
    <x v="12"/>
    <n v="44.1"/>
    <n v="176.4"/>
    <x v="62"/>
    <d v="2025-03-06T00:00:00"/>
    <x v="2"/>
    <x v="2"/>
    <x v="0"/>
    <x v="0"/>
    <x v="8"/>
    <x v="1"/>
    <x v="9"/>
    <x v="2"/>
  </r>
  <r>
    <s v="TX501698"/>
    <x v="5"/>
    <x v="8"/>
    <n v="57.6"/>
    <n v="460.8"/>
    <x v="62"/>
    <d v="2025-03-06T00:00:00"/>
    <x v="1"/>
    <x v="1"/>
    <x v="2"/>
    <x v="0"/>
    <x v="8"/>
    <x v="1"/>
    <x v="9"/>
    <x v="1"/>
  </r>
  <r>
    <s v="TX501699"/>
    <x v="9"/>
    <x v="1"/>
    <n v="20.3"/>
    <n v="40.6"/>
    <x v="62"/>
    <d v="2025-03-10T00:00:00"/>
    <x v="2"/>
    <x v="3"/>
    <x v="0"/>
    <x v="0"/>
    <x v="8"/>
    <x v="4"/>
    <x v="9"/>
    <x v="2"/>
  </r>
  <r>
    <s v="TX501700"/>
    <x v="8"/>
    <x v="0"/>
    <n v="22.9"/>
    <n v="22.9"/>
    <x v="62"/>
    <d v="2025-03-06T00:00:00"/>
    <x v="2"/>
    <x v="2"/>
    <x v="2"/>
    <x v="0"/>
    <x v="8"/>
    <x v="1"/>
    <x v="9"/>
    <x v="2"/>
  </r>
  <r>
    <s v="TX501701"/>
    <x v="6"/>
    <x v="12"/>
    <n v="105.9"/>
    <n v="423.6"/>
    <x v="62"/>
    <d v="2025-03-05T00:00:00"/>
    <x v="2"/>
    <x v="1"/>
    <x v="2"/>
    <x v="0"/>
    <x v="17"/>
    <x v="3"/>
    <x v="9"/>
    <x v="2"/>
  </r>
  <r>
    <s v="TX501702"/>
    <x v="1"/>
    <x v="11"/>
    <n v="37.4"/>
    <n v="336.59999999999997"/>
    <x v="62"/>
    <d v="2025-03-08T00:00:00"/>
    <x v="1"/>
    <x v="1"/>
    <x v="0"/>
    <x v="0"/>
    <x v="11"/>
    <x v="5"/>
    <x v="9"/>
    <x v="1"/>
  </r>
  <r>
    <s v="TX501703"/>
    <x v="18"/>
    <x v="1"/>
    <n v="79"/>
    <n v="158"/>
    <x v="62"/>
    <d v="2025-03-05T00:00:00"/>
    <x v="1"/>
    <x v="2"/>
    <x v="0"/>
    <x v="0"/>
    <x v="28"/>
    <x v="3"/>
    <x v="9"/>
    <x v="1"/>
  </r>
  <r>
    <s v="TX501704"/>
    <x v="0"/>
    <x v="2"/>
    <n v="19.3"/>
    <n v="57.900000000000006"/>
    <x v="62"/>
    <d v="2025-03-05T00:00:00"/>
    <x v="2"/>
    <x v="4"/>
    <x v="0"/>
    <x v="0"/>
    <x v="21"/>
    <x v="3"/>
    <x v="9"/>
    <x v="2"/>
  </r>
  <r>
    <s v="TX501705"/>
    <x v="0"/>
    <x v="0"/>
    <n v="24"/>
    <n v="24"/>
    <x v="62"/>
    <d v="2025-03-05T00:00:00"/>
    <x v="2"/>
    <x v="1"/>
    <x v="0"/>
    <x v="0"/>
    <x v="1"/>
    <x v="3"/>
    <x v="9"/>
    <x v="2"/>
  </r>
  <r>
    <s v="TX501706"/>
    <x v="6"/>
    <x v="9"/>
    <n v="71.3"/>
    <n v="356.5"/>
    <x v="62"/>
    <d v="2025-03-07T00:00:00"/>
    <x v="2"/>
    <x v="2"/>
    <x v="0"/>
    <x v="0"/>
    <x v="2"/>
    <x v="2"/>
    <x v="9"/>
    <x v="2"/>
  </r>
  <r>
    <s v="TX501707"/>
    <x v="5"/>
    <x v="1"/>
    <n v="166.2"/>
    <n v="332.4"/>
    <x v="62"/>
    <d v="2025-03-05T00:00:00"/>
    <x v="1"/>
    <x v="0"/>
    <x v="2"/>
    <x v="0"/>
    <x v="50"/>
    <x v="3"/>
    <x v="9"/>
    <x v="1"/>
  </r>
  <r>
    <s v="TX501708"/>
    <x v="6"/>
    <x v="0"/>
    <n v="81"/>
    <n v="81"/>
    <x v="62"/>
    <d v="2025-03-05T00:00:00"/>
    <x v="2"/>
    <x v="2"/>
    <x v="1"/>
    <x v="0"/>
    <x v="3"/>
    <x v="3"/>
    <x v="9"/>
    <x v="2"/>
  </r>
  <r>
    <s v="TX501709"/>
    <x v="10"/>
    <x v="13"/>
    <n v="38.5"/>
    <n v="231"/>
    <x v="62"/>
    <d v="2025-03-08T00:00:00"/>
    <x v="2"/>
    <x v="0"/>
    <x v="0"/>
    <x v="0"/>
    <x v="3"/>
    <x v="5"/>
    <x v="9"/>
    <x v="2"/>
  </r>
  <r>
    <s v="TX501710"/>
    <x v="6"/>
    <x v="0"/>
    <n v="86.1"/>
    <n v="86.1"/>
    <x v="62"/>
    <d v="2025-03-06T00:00:00"/>
    <x v="2"/>
    <x v="3"/>
    <x v="0"/>
    <x v="0"/>
    <x v="3"/>
    <x v="1"/>
    <x v="9"/>
    <x v="2"/>
  </r>
  <r>
    <s v="TX501711"/>
    <x v="2"/>
    <x v="9"/>
    <n v="51"/>
    <n v="255"/>
    <x v="62"/>
    <d v="2025-03-05T00:00:00"/>
    <x v="1"/>
    <x v="0"/>
    <x v="1"/>
    <x v="0"/>
    <x v="3"/>
    <x v="3"/>
    <x v="9"/>
    <x v="1"/>
  </r>
  <r>
    <s v="TX501712"/>
    <x v="3"/>
    <x v="9"/>
    <n v="115.4"/>
    <n v="577"/>
    <x v="62"/>
    <d v="2025-03-05T00:00:00"/>
    <x v="1"/>
    <x v="0"/>
    <x v="0"/>
    <x v="0"/>
    <x v="3"/>
    <x v="3"/>
    <x v="9"/>
    <x v="1"/>
  </r>
  <r>
    <s v="TX501713"/>
    <x v="6"/>
    <x v="12"/>
    <n v="176.5"/>
    <n v="706"/>
    <x v="62"/>
    <d v="2025-03-05T00:00:00"/>
    <x v="2"/>
    <x v="2"/>
    <x v="2"/>
    <x v="0"/>
    <x v="3"/>
    <x v="3"/>
    <x v="9"/>
    <x v="2"/>
  </r>
  <r>
    <s v="TX501714"/>
    <x v="7"/>
    <x v="2"/>
    <n v="48.9"/>
    <n v="146.69999999999999"/>
    <x v="62"/>
    <d v="2025-03-05T00:00:00"/>
    <x v="1"/>
    <x v="4"/>
    <x v="0"/>
    <x v="0"/>
    <x v="3"/>
    <x v="3"/>
    <x v="9"/>
    <x v="1"/>
  </r>
  <r>
    <s v="TX501715"/>
    <x v="8"/>
    <x v="2"/>
    <n v="18.100000000000001"/>
    <n v="54.300000000000004"/>
    <x v="62"/>
    <d v="2025-03-11T00:00:00"/>
    <x v="2"/>
    <x v="1"/>
    <x v="2"/>
    <x v="0"/>
    <x v="29"/>
    <x v="6"/>
    <x v="9"/>
    <x v="2"/>
  </r>
  <r>
    <s v="TX501716"/>
    <x v="2"/>
    <x v="1"/>
    <n v="118.5"/>
    <n v="237"/>
    <x v="62"/>
    <d v="2025-03-07T00:00:00"/>
    <x v="1"/>
    <x v="1"/>
    <x v="2"/>
    <x v="0"/>
    <x v="16"/>
    <x v="2"/>
    <x v="9"/>
    <x v="1"/>
  </r>
  <r>
    <s v="TX501717"/>
    <x v="15"/>
    <x v="3"/>
    <n v="59.1"/>
    <n v="413.7"/>
    <x v="62"/>
    <d v="2025-03-05T00:00:00"/>
    <x v="2"/>
    <x v="3"/>
    <x v="0"/>
    <x v="0"/>
    <x v="25"/>
    <x v="3"/>
    <x v="9"/>
    <x v="2"/>
  </r>
  <r>
    <s v="TX501718"/>
    <x v="4"/>
    <x v="0"/>
    <n v="21.2"/>
    <n v="21.2"/>
    <x v="62"/>
    <d v="2025-03-05T00:00:00"/>
    <x v="2"/>
    <x v="0"/>
    <x v="1"/>
    <x v="0"/>
    <x v="6"/>
    <x v="3"/>
    <x v="9"/>
    <x v="2"/>
  </r>
  <r>
    <s v="TX501719"/>
    <x v="6"/>
    <x v="1"/>
    <n v="68.8"/>
    <n v="137.6"/>
    <x v="62"/>
    <d v="2025-03-09T00:00:00"/>
    <x v="2"/>
    <x v="3"/>
    <x v="2"/>
    <x v="0"/>
    <x v="6"/>
    <x v="0"/>
    <x v="9"/>
    <x v="2"/>
  </r>
  <r>
    <s v="TX501720"/>
    <x v="6"/>
    <x v="1"/>
    <n v="65.400000000000006"/>
    <n v="130.80000000000001"/>
    <x v="62"/>
    <d v="2025-03-08T00:00:00"/>
    <x v="2"/>
    <x v="0"/>
    <x v="0"/>
    <x v="0"/>
    <x v="6"/>
    <x v="5"/>
    <x v="9"/>
    <x v="2"/>
  </r>
  <r>
    <s v="TX501721"/>
    <x v="12"/>
    <x v="9"/>
    <n v="66.3"/>
    <n v="331.5"/>
    <x v="63"/>
    <d v="2025-03-08T00:00:00"/>
    <x v="2"/>
    <x v="4"/>
    <x v="0"/>
    <x v="0"/>
    <x v="6"/>
    <x v="2"/>
    <x v="9"/>
    <x v="2"/>
  </r>
  <r>
    <s v="TX501722"/>
    <x v="6"/>
    <x v="2"/>
    <n v="97.5"/>
    <n v="292.5"/>
    <x v="63"/>
    <d v="2025-03-05T00:00:00"/>
    <x v="1"/>
    <x v="3"/>
    <x v="0"/>
    <x v="0"/>
    <x v="8"/>
    <x v="7"/>
    <x v="9"/>
    <x v="1"/>
  </r>
  <r>
    <s v="TX501723"/>
    <x v="1"/>
    <x v="1"/>
    <n v="44"/>
    <n v="88"/>
    <x v="63"/>
    <d v="2025-03-08T00:00:00"/>
    <x v="2"/>
    <x v="1"/>
    <x v="2"/>
    <x v="0"/>
    <x v="8"/>
    <x v="2"/>
    <x v="9"/>
    <x v="2"/>
  </r>
  <r>
    <s v="TX501724"/>
    <x v="0"/>
    <x v="0"/>
    <n v="21.9"/>
    <n v="21.9"/>
    <x v="63"/>
    <d v="2025-03-06T00:00:00"/>
    <x v="1"/>
    <x v="0"/>
    <x v="0"/>
    <x v="0"/>
    <x v="8"/>
    <x v="3"/>
    <x v="9"/>
    <x v="1"/>
  </r>
  <r>
    <s v="TX501725"/>
    <x v="4"/>
    <x v="3"/>
    <n v="21.5"/>
    <n v="150.5"/>
    <x v="63"/>
    <d v="2025-03-07T00:00:00"/>
    <x v="2"/>
    <x v="1"/>
    <x v="2"/>
    <x v="0"/>
    <x v="9"/>
    <x v="1"/>
    <x v="9"/>
    <x v="2"/>
  </r>
  <r>
    <s v="TX501726"/>
    <x v="12"/>
    <x v="13"/>
    <n v="133"/>
    <n v="798"/>
    <x v="63"/>
    <d v="2025-03-06T00:00:00"/>
    <x v="3"/>
    <x v="0"/>
    <x v="2"/>
    <x v="0"/>
    <x v="10"/>
    <x v="3"/>
    <x v="9"/>
    <x v="3"/>
  </r>
  <r>
    <s v="TX501727"/>
    <x v="8"/>
    <x v="1"/>
    <n v="47.7"/>
    <n v="95.4"/>
    <x v="63"/>
    <d v="2025-03-09T00:00:00"/>
    <x v="1"/>
    <x v="0"/>
    <x v="2"/>
    <x v="0"/>
    <x v="10"/>
    <x v="5"/>
    <x v="9"/>
    <x v="1"/>
  </r>
  <r>
    <s v="TX501728"/>
    <x v="16"/>
    <x v="2"/>
    <n v="58.1"/>
    <n v="174.3"/>
    <x v="63"/>
    <d v="2025-03-06T00:00:00"/>
    <x v="2"/>
    <x v="0"/>
    <x v="0"/>
    <x v="0"/>
    <x v="11"/>
    <x v="3"/>
    <x v="9"/>
    <x v="2"/>
  </r>
  <r>
    <s v="TX501729"/>
    <x v="12"/>
    <x v="12"/>
    <n v="66.599999999999994"/>
    <n v="266.39999999999998"/>
    <x v="63"/>
    <d v="2025-03-06T00:00:00"/>
    <x v="0"/>
    <x v="0"/>
    <x v="0"/>
    <x v="0"/>
    <x v="11"/>
    <x v="3"/>
    <x v="9"/>
    <x v="0"/>
  </r>
  <r>
    <s v="TX501730"/>
    <x v="9"/>
    <x v="0"/>
    <n v="24.1"/>
    <n v="24.1"/>
    <x v="63"/>
    <d v="2025-03-08T00:00:00"/>
    <x v="1"/>
    <x v="2"/>
    <x v="1"/>
    <x v="0"/>
    <x v="19"/>
    <x v="2"/>
    <x v="9"/>
    <x v="1"/>
  </r>
  <r>
    <s v="TX501731"/>
    <x v="10"/>
    <x v="9"/>
    <n v="51.5"/>
    <n v="257.5"/>
    <x v="63"/>
    <d v="2025-03-10T00:00:00"/>
    <x v="2"/>
    <x v="0"/>
    <x v="0"/>
    <x v="0"/>
    <x v="13"/>
    <x v="0"/>
    <x v="9"/>
    <x v="2"/>
  </r>
  <r>
    <s v="TX501732"/>
    <x v="0"/>
    <x v="5"/>
    <n v="25.8"/>
    <n v="283.8"/>
    <x v="63"/>
    <d v="2025-03-09T00:00:00"/>
    <x v="2"/>
    <x v="3"/>
    <x v="4"/>
    <x v="0"/>
    <x v="21"/>
    <x v="5"/>
    <x v="9"/>
    <x v="2"/>
  </r>
  <r>
    <s v="TX501733"/>
    <x v="9"/>
    <x v="12"/>
    <n v="47.7"/>
    <n v="190.8"/>
    <x v="63"/>
    <d v="2025-03-05T00:00:00"/>
    <x v="2"/>
    <x v="0"/>
    <x v="1"/>
    <x v="0"/>
    <x v="21"/>
    <x v="7"/>
    <x v="9"/>
    <x v="2"/>
  </r>
  <r>
    <s v="TX501734"/>
    <x v="7"/>
    <x v="9"/>
    <n v="73.599999999999994"/>
    <n v="368"/>
    <x v="63"/>
    <d v="2025-03-09T00:00:00"/>
    <x v="1"/>
    <x v="1"/>
    <x v="0"/>
    <x v="0"/>
    <x v="21"/>
    <x v="5"/>
    <x v="9"/>
    <x v="1"/>
  </r>
  <r>
    <s v="TX501735"/>
    <x v="5"/>
    <x v="3"/>
    <n v="91.2"/>
    <n v="638.4"/>
    <x v="63"/>
    <d v="2025-03-06T00:00:00"/>
    <x v="1"/>
    <x v="1"/>
    <x v="2"/>
    <x v="0"/>
    <x v="21"/>
    <x v="3"/>
    <x v="9"/>
    <x v="1"/>
  </r>
  <r>
    <s v="TX501736"/>
    <x v="1"/>
    <x v="8"/>
    <n v="36.200000000000003"/>
    <n v="289.60000000000002"/>
    <x v="63"/>
    <d v="2025-03-05T00:00:00"/>
    <x v="1"/>
    <x v="2"/>
    <x v="2"/>
    <x v="0"/>
    <x v="1"/>
    <x v="7"/>
    <x v="9"/>
    <x v="1"/>
  </r>
  <r>
    <s v="TX501737"/>
    <x v="9"/>
    <x v="8"/>
    <n v="98"/>
    <n v="784"/>
    <x v="63"/>
    <d v="2025-03-09T00:00:00"/>
    <x v="2"/>
    <x v="2"/>
    <x v="0"/>
    <x v="0"/>
    <x v="2"/>
    <x v="5"/>
    <x v="9"/>
    <x v="2"/>
  </r>
  <r>
    <s v="TX501738"/>
    <x v="1"/>
    <x v="8"/>
    <n v="43.6"/>
    <n v="348.8"/>
    <x v="63"/>
    <d v="2025-03-06T00:00:00"/>
    <x v="2"/>
    <x v="2"/>
    <x v="0"/>
    <x v="0"/>
    <x v="22"/>
    <x v="3"/>
    <x v="9"/>
    <x v="2"/>
  </r>
  <r>
    <s v="TX501739"/>
    <x v="8"/>
    <x v="7"/>
    <n v="37.799999999999997"/>
    <n v="378"/>
    <x v="63"/>
    <d v="2025-03-05T00:00:00"/>
    <x v="3"/>
    <x v="0"/>
    <x v="0"/>
    <x v="0"/>
    <x v="50"/>
    <x v="7"/>
    <x v="9"/>
    <x v="3"/>
  </r>
  <r>
    <s v="TX501740"/>
    <x v="17"/>
    <x v="9"/>
    <n v="63.7"/>
    <n v="318.5"/>
    <x v="63"/>
    <d v="2025-03-08T00:00:00"/>
    <x v="2"/>
    <x v="2"/>
    <x v="1"/>
    <x v="0"/>
    <x v="3"/>
    <x v="2"/>
    <x v="9"/>
    <x v="2"/>
  </r>
  <r>
    <s v="TX501741"/>
    <x v="5"/>
    <x v="11"/>
    <n v="62.9"/>
    <n v="566.1"/>
    <x v="63"/>
    <d v="2025-03-10T00:00:00"/>
    <x v="1"/>
    <x v="3"/>
    <x v="2"/>
    <x v="0"/>
    <x v="3"/>
    <x v="0"/>
    <x v="9"/>
    <x v="1"/>
  </r>
  <r>
    <s v="TX501742"/>
    <x v="6"/>
    <x v="3"/>
    <n v="61.7"/>
    <n v="431.90000000000003"/>
    <x v="63"/>
    <d v="2025-03-08T00:00:00"/>
    <x v="2"/>
    <x v="2"/>
    <x v="2"/>
    <x v="0"/>
    <x v="3"/>
    <x v="2"/>
    <x v="9"/>
    <x v="2"/>
  </r>
  <r>
    <s v="TX501743"/>
    <x v="18"/>
    <x v="21"/>
    <n v="36.5"/>
    <n v="511"/>
    <x v="63"/>
    <d v="2025-03-06T00:00:00"/>
    <x v="1"/>
    <x v="0"/>
    <x v="2"/>
    <x v="0"/>
    <x v="3"/>
    <x v="3"/>
    <x v="9"/>
    <x v="1"/>
  </r>
  <r>
    <s v="TX501744"/>
    <x v="11"/>
    <x v="2"/>
    <n v="98.6"/>
    <n v="295.79999999999995"/>
    <x v="63"/>
    <d v="2025-03-08T00:00:00"/>
    <x v="3"/>
    <x v="0"/>
    <x v="4"/>
    <x v="0"/>
    <x v="3"/>
    <x v="2"/>
    <x v="9"/>
    <x v="3"/>
  </r>
  <r>
    <s v="TX501745"/>
    <x v="8"/>
    <x v="1"/>
    <n v="19.2"/>
    <n v="38.4"/>
    <x v="63"/>
    <d v="2025-03-15T00:00:00"/>
    <x v="1"/>
    <x v="0"/>
    <x v="0"/>
    <x v="0"/>
    <x v="3"/>
    <x v="14"/>
    <x v="9"/>
    <x v="1"/>
  </r>
  <r>
    <s v="TX501746"/>
    <x v="3"/>
    <x v="13"/>
    <n v="55.6"/>
    <n v="333.6"/>
    <x v="63"/>
    <d v="2025-03-09T00:00:00"/>
    <x v="2"/>
    <x v="0"/>
    <x v="2"/>
    <x v="0"/>
    <x v="3"/>
    <x v="5"/>
    <x v="9"/>
    <x v="2"/>
  </r>
  <r>
    <s v="TX501747"/>
    <x v="5"/>
    <x v="13"/>
    <n v="56.4"/>
    <n v="338.4"/>
    <x v="63"/>
    <d v="2025-03-06T00:00:00"/>
    <x v="2"/>
    <x v="1"/>
    <x v="0"/>
    <x v="0"/>
    <x v="3"/>
    <x v="3"/>
    <x v="9"/>
    <x v="2"/>
  </r>
  <r>
    <s v="TX501748"/>
    <x v="4"/>
    <x v="8"/>
    <n v="43.1"/>
    <n v="344.8"/>
    <x v="63"/>
    <d v="2025-03-09T00:00:00"/>
    <x v="2"/>
    <x v="4"/>
    <x v="0"/>
    <x v="0"/>
    <x v="3"/>
    <x v="5"/>
    <x v="9"/>
    <x v="2"/>
  </r>
  <r>
    <s v="TX501749"/>
    <x v="1"/>
    <x v="1"/>
    <n v="77.3"/>
    <n v="154.6"/>
    <x v="63"/>
    <d v="2025-03-07T00:00:00"/>
    <x v="1"/>
    <x v="0"/>
    <x v="0"/>
    <x v="0"/>
    <x v="6"/>
    <x v="1"/>
    <x v="9"/>
    <x v="1"/>
  </r>
  <r>
    <s v="TX501750"/>
    <x v="9"/>
    <x v="8"/>
    <n v="38.299999999999997"/>
    <n v="306.39999999999998"/>
    <x v="63"/>
    <d v="2025-03-06T00:00:00"/>
    <x v="1"/>
    <x v="0"/>
    <x v="0"/>
    <x v="0"/>
    <x v="7"/>
    <x v="3"/>
    <x v="9"/>
    <x v="1"/>
  </r>
  <r>
    <s v="TX501751"/>
    <x v="0"/>
    <x v="3"/>
    <n v="16.8"/>
    <n v="117.60000000000001"/>
    <x v="63"/>
    <d v="2025-03-08T00:00:00"/>
    <x v="1"/>
    <x v="2"/>
    <x v="1"/>
    <x v="0"/>
    <x v="8"/>
    <x v="2"/>
    <x v="9"/>
    <x v="1"/>
  </r>
  <r>
    <s v="TX501752"/>
    <x v="2"/>
    <x v="2"/>
    <n v="63.2"/>
    <n v="189.60000000000002"/>
    <x v="63"/>
    <d v="2025-03-06T00:00:00"/>
    <x v="2"/>
    <x v="0"/>
    <x v="2"/>
    <x v="0"/>
    <x v="8"/>
    <x v="3"/>
    <x v="9"/>
    <x v="2"/>
  </r>
  <r>
    <s v="TX501753"/>
    <x v="14"/>
    <x v="44"/>
    <n v="39.700000000000003"/>
    <n v="913.1"/>
    <x v="63"/>
    <d v="2025-03-06T00:00:00"/>
    <x v="1"/>
    <x v="0"/>
    <x v="0"/>
    <x v="0"/>
    <x v="8"/>
    <x v="3"/>
    <x v="9"/>
    <x v="1"/>
  </r>
  <r>
    <s v="TX501754"/>
    <x v="10"/>
    <x v="2"/>
    <n v="45.8"/>
    <n v="137.39999999999998"/>
    <x v="63"/>
    <d v="2025-03-06T00:00:00"/>
    <x v="2"/>
    <x v="1"/>
    <x v="2"/>
    <x v="0"/>
    <x v="8"/>
    <x v="3"/>
    <x v="9"/>
    <x v="2"/>
  </r>
  <r>
    <s v="TX501755"/>
    <x v="0"/>
    <x v="13"/>
    <n v="12.4"/>
    <n v="74.400000000000006"/>
    <x v="63"/>
    <d v="2025-03-08T00:00:00"/>
    <x v="1"/>
    <x v="0"/>
    <x v="0"/>
    <x v="0"/>
    <x v="8"/>
    <x v="2"/>
    <x v="9"/>
    <x v="1"/>
  </r>
  <r>
    <s v="TX501756"/>
    <x v="14"/>
    <x v="2"/>
    <n v="50.8"/>
    <n v="152.39999999999998"/>
    <x v="64"/>
    <d v="2025-03-06T00:00:00"/>
    <x v="2"/>
    <x v="4"/>
    <x v="0"/>
    <x v="0"/>
    <x v="17"/>
    <x v="7"/>
    <x v="9"/>
    <x v="2"/>
  </r>
  <r>
    <s v="TX501757"/>
    <x v="9"/>
    <x v="0"/>
    <n v="76"/>
    <n v="76"/>
    <x v="64"/>
    <d v="2025-03-10T00:00:00"/>
    <x v="3"/>
    <x v="2"/>
    <x v="2"/>
    <x v="0"/>
    <x v="17"/>
    <x v="5"/>
    <x v="9"/>
    <x v="3"/>
  </r>
  <r>
    <s v="TX501758"/>
    <x v="1"/>
    <x v="1"/>
    <n v="51.9"/>
    <n v="103.8"/>
    <x v="64"/>
    <d v="2025-03-07T00:00:00"/>
    <x v="1"/>
    <x v="1"/>
    <x v="2"/>
    <x v="0"/>
    <x v="26"/>
    <x v="3"/>
    <x v="9"/>
    <x v="1"/>
  </r>
  <r>
    <s v="TX501759"/>
    <x v="2"/>
    <x v="1"/>
    <n v="93.4"/>
    <n v="186.8"/>
    <x v="64"/>
    <d v="2025-03-13T00:00:00"/>
    <x v="1"/>
    <x v="0"/>
    <x v="3"/>
    <x v="0"/>
    <x v="11"/>
    <x v="6"/>
    <x v="9"/>
    <x v="1"/>
  </r>
  <r>
    <s v="TX501760"/>
    <x v="7"/>
    <x v="13"/>
    <n v="30.8"/>
    <n v="184.8"/>
    <x v="64"/>
    <d v="2025-03-09T00:00:00"/>
    <x v="2"/>
    <x v="1"/>
    <x v="0"/>
    <x v="0"/>
    <x v="11"/>
    <x v="2"/>
    <x v="9"/>
    <x v="2"/>
  </r>
  <r>
    <s v="TX501761"/>
    <x v="2"/>
    <x v="0"/>
    <n v="143.19999999999999"/>
    <n v="143.19999999999999"/>
    <x v="64"/>
    <d v="2025-03-09T00:00:00"/>
    <x v="1"/>
    <x v="2"/>
    <x v="0"/>
    <x v="0"/>
    <x v="11"/>
    <x v="2"/>
    <x v="9"/>
    <x v="1"/>
  </r>
  <r>
    <s v="TX501762"/>
    <x v="6"/>
    <x v="5"/>
    <n v="40.4"/>
    <n v="444.4"/>
    <x v="64"/>
    <d v="2025-03-08T00:00:00"/>
    <x v="1"/>
    <x v="2"/>
    <x v="2"/>
    <x v="0"/>
    <x v="18"/>
    <x v="1"/>
    <x v="9"/>
    <x v="1"/>
  </r>
  <r>
    <s v="TX501763"/>
    <x v="2"/>
    <x v="10"/>
    <n v="131.5"/>
    <n v="2498.5"/>
    <x v="64"/>
    <d v="2025-03-08T00:00:00"/>
    <x v="1"/>
    <x v="1"/>
    <x v="1"/>
    <x v="0"/>
    <x v="18"/>
    <x v="1"/>
    <x v="9"/>
    <x v="1"/>
  </r>
  <r>
    <s v="TX501764"/>
    <x v="18"/>
    <x v="3"/>
    <n v="61.6"/>
    <n v="431.2"/>
    <x v="64"/>
    <d v="2025-03-07T00:00:00"/>
    <x v="1"/>
    <x v="2"/>
    <x v="0"/>
    <x v="0"/>
    <x v="21"/>
    <x v="3"/>
    <x v="9"/>
    <x v="1"/>
  </r>
  <r>
    <s v="TX501765"/>
    <x v="9"/>
    <x v="9"/>
    <n v="32.700000000000003"/>
    <n v="163.5"/>
    <x v="64"/>
    <d v="2025-03-08T00:00:00"/>
    <x v="1"/>
    <x v="2"/>
    <x v="0"/>
    <x v="0"/>
    <x v="1"/>
    <x v="1"/>
    <x v="9"/>
    <x v="1"/>
  </r>
  <r>
    <s v="TX501766"/>
    <x v="0"/>
    <x v="7"/>
    <n v="13.7"/>
    <n v="137"/>
    <x v="64"/>
    <d v="2025-03-07T00:00:00"/>
    <x v="1"/>
    <x v="0"/>
    <x v="2"/>
    <x v="0"/>
    <x v="3"/>
    <x v="3"/>
    <x v="9"/>
    <x v="1"/>
  </r>
  <r>
    <s v="TX501767"/>
    <x v="0"/>
    <x v="12"/>
    <n v="32.1"/>
    <n v="128.4"/>
    <x v="64"/>
    <d v="2025-03-07T00:00:00"/>
    <x v="1"/>
    <x v="4"/>
    <x v="1"/>
    <x v="0"/>
    <x v="3"/>
    <x v="3"/>
    <x v="9"/>
    <x v="1"/>
  </r>
  <r>
    <s v="TX501768"/>
    <x v="14"/>
    <x v="8"/>
    <n v="12"/>
    <n v="96"/>
    <x v="64"/>
    <d v="2025-03-07T00:00:00"/>
    <x v="1"/>
    <x v="1"/>
    <x v="0"/>
    <x v="0"/>
    <x v="24"/>
    <x v="3"/>
    <x v="9"/>
    <x v="1"/>
  </r>
  <r>
    <s v="TX501769"/>
    <x v="12"/>
    <x v="0"/>
    <n v="64.3"/>
    <n v="64.3"/>
    <x v="64"/>
    <d v="2025-03-08T00:00:00"/>
    <x v="2"/>
    <x v="2"/>
    <x v="2"/>
    <x v="0"/>
    <x v="6"/>
    <x v="1"/>
    <x v="9"/>
    <x v="2"/>
  </r>
  <r>
    <s v="TX501770"/>
    <x v="1"/>
    <x v="2"/>
    <n v="58.2"/>
    <n v="174.60000000000002"/>
    <x v="64"/>
    <d v="2025-03-08T00:00:00"/>
    <x v="2"/>
    <x v="1"/>
    <x v="2"/>
    <x v="0"/>
    <x v="6"/>
    <x v="1"/>
    <x v="9"/>
    <x v="2"/>
  </r>
  <r>
    <s v="TX501771"/>
    <x v="6"/>
    <x v="12"/>
    <n v="59.2"/>
    <n v="236.8"/>
    <x v="64"/>
    <d v="2025-03-06T00:00:00"/>
    <x v="1"/>
    <x v="1"/>
    <x v="2"/>
    <x v="0"/>
    <x v="6"/>
    <x v="7"/>
    <x v="9"/>
    <x v="1"/>
  </r>
  <r>
    <s v="TX501772"/>
    <x v="10"/>
    <x v="5"/>
    <n v="35.6"/>
    <n v="391.6"/>
    <x v="64"/>
    <d v="2025-03-13T00:00:00"/>
    <x v="1"/>
    <x v="0"/>
    <x v="2"/>
    <x v="0"/>
    <x v="8"/>
    <x v="6"/>
    <x v="9"/>
    <x v="1"/>
  </r>
  <r>
    <s v="TX501773"/>
    <x v="16"/>
    <x v="8"/>
    <n v="37"/>
    <n v="296"/>
    <x v="64"/>
    <d v="2025-03-10T00:00:00"/>
    <x v="2"/>
    <x v="2"/>
    <x v="1"/>
    <x v="0"/>
    <x v="8"/>
    <x v="5"/>
    <x v="9"/>
    <x v="2"/>
  </r>
  <r>
    <s v="TX501774"/>
    <x v="1"/>
    <x v="15"/>
    <n v="80.8"/>
    <n v="1050.3999999999999"/>
    <x v="64"/>
    <d v="2025-03-08T00:00:00"/>
    <x v="2"/>
    <x v="0"/>
    <x v="0"/>
    <x v="0"/>
    <x v="8"/>
    <x v="1"/>
    <x v="9"/>
    <x v="2"/>
  </r>
  <r>
    <s v="TX501775"/>
    <x v="8"/>
    <x v="1"/>
    <n v="63.2"/>
    <n v="126.4"/>
    <x v="64"/>
    <d v="2025-03-07T00:00:00"/>
    <x v="1"/>
    <x v="0"/>
    <x v="1"/>
    <x v="0"/>
    <x v="8"/>
    <x v="3"/>
    <x v="9"/>
    <x v="1"/>
  </r>
  <r>
    <s v="TX501776"/>
    <x v="3"/>
    <x v="1"/>
    <n v="40.799999999999997"/>
    <n v="81.599999999999994"/>
    <x v="64"/>
    <d v="2025-03-08T00:00:00"/>
    <x v="1"/>
    <x v="0"/>
    <x v="1"/>
    <x v="0"/>
    <x v="17"/>
    <x v="1"/>
    <x v="9"/>
    <x v="1"/>
  </r>
  <r>
    <s v="TX501777"/>
    <x v="13"/>
    <x v="13"/>
    <n v="25.7"/>
    <n v="154.19999999999999"/>
    <x v="64"/>
    <d v="2025-03-08T00:00:00"/>
    <x v="1"/>
    <x v="4"/>
    <x v="0"/>
    <x v="0"/>
    <x v="18"/>
    <x v="1"/>
    <x v="9"/>
    <x v="1"/>
  </r>
  <r>
    <s v="TX501778"/>
    <x v="16"/>
    <x v="1"/>
    <n v="49.9"/>
    <n v="99.8"/>
    <x v="64"/>
    <d v="2025-03-09T00:00:00"/>
    <x v="1"/>
    <x v="0"/>
    <x v="0"/>
    <x v="0"/>
    <x v="20"/>
    <x v="2"/>
    <x v="9"/>
    <x v="1"/>
  </r>
  <r>
    <s v="TX501779"/>
    <x v="8"/>
    <x v="1"/>
    <n v="20.2"/>
    <n v="40.4"/>
    <x v="64"/>
    <d v="2025-03-08T00:00:00"/>
    <x v="2"/>
    <x v="3"/>
    <x v="0"/>
    <x v="0"/>
    <x v="21"/>
    <x v="1"/>
    <x v="9"/>
    <x v="2"/>
  </r>
  <r>
    <s v="TX501780"/>
    <x v="6"/>
    <x v="2"/>
    <n v="48.4"/>
    <n v="145.19999999999999"/>
    <x v="64"/>
    <d v="2025-03-11T00:00:00"/>
    <x v="2"/>
    <x v="0"/>
    <x v="2"/>
    <x v="0"/>
    <x v="21"/>
    <x v="0"/>
    <x v="9"/>
    <x v="2"/>
  </r>
  <r>
    <s v="TX501781"/>
    <x v="6"/>
    <x v="1"/>
    <n v="81"/>
    <n v="162"/>
    <x v="64"/>
    <d v="2025-03-07T00:00:00"/>
    <x v="2"/>
    <x v="1"/>
    <x v="2"/>
    <x v="0"/>
    <x v="21"/>
    <x v="3"/>
    <x v="9"/>
    <x v="2"/>
  </r>
  <r>
    <s v="TX501782"/>
    <x v="8"/>
    <x v="13"/>
    <n v="19.899999999999999"/>
    <n v="119.39999999999999"/>
    <x v="64"/>
    <d v="2025-03-09T00:00:00"/>
    <x v="2"/>
    <x v="0"/>
    <x v="1"/>
    <x v="0"/>
    <x v="22"/>
    <x v="2"/>
    <x v="9"/>
    <x v="2"/>
  </r>
  <r>
    <s v="TX501783"/>
    <x v="4"/>
    <x v="12"/>
    <n v="32.200000000000003"/>
    <n v="128.80000000000001"/>
    <x v="64"/>
    <d v="2025-03-16T00:00:00"/>
    <x v="1"/>
    <x v="0"/>
    <x v="0"/>
    <x v="0"/>
    <x v="22"/>
    <x v="14"/>
    <x v="9"/>
    <x v="1"/>
  </r>
  <r>
    <s v="TX501784"/>
    <x v="5"/>
    <x v="2"/>
    <n v="76.8"/>
    <n v="230.39999999999998"/>
    <x v="64"/>
    <d v="2025-03-07T00:00:00"/>
    <x v="2"/>
    <x v="0"/>
    <x v="1"/>
    <x v="0"/>
    <x v="3"/>
    <x v="3"/>
    <x v="9"/>
    <x v="2"/>
  </r>
  <r>
    <s v="TX501785"/>
    <x v="6"/>
    <x v="1"/>
    <n v="41.9"/>
    <n v="83.8"/>
    <x v="64"/>
    <d v="2025-03-08T00:00:00"/>
    <x v="2"/>
    <x v="0"/>
    <x v="0"/>
    <x v="0"/>
    <x v="3"/>
    <x v="1"/>
    <x v="9"/>
    <x v="2"/>
  </r>
  <r>
    <s v="TX501786"/>
    <x v="0"/>
    <x v="3"/>
    <n v="34"/>
    <n v="238"/>
    <x v="64"/>
    <d v="2025-03-08T00:00:00"/>
    <x v="2"/>
    <x v="1"/>
    <x v="2"/>
    <x v="0"/>
    <x v="3"/>
    <x v="1"/>
    <x v="9"/>
    <x v="2"/>
  </r>
  <r>
    <s v="TX501787"/>
    <x v="7"/>
    <x v="3"/>
    <n v="61.3"/>
    <n v="429.09999999999997"/>
    <x v="64"/>
    <d v="2025-03-06T00:00:00"/>
    <x v="2"/>
    <x v="4"/>
    <x v="2"/>
    <x v="0"/>
    <x v="3"/>
    <x v="7"/>
    <x v="9"/>
    <x v="2"/>
  </r>
  <r>
    <s v="TX501788"/>
    <x v="9"/>
    <x v="0"/>
    <n v="54.7"/>
    <n v="54.7"/>
    <x v="65"/>
    <d v="2025-03-08T00:00:00"/>
    <x v="1"/>
    <x v="0"/>
    <x v="1"/>
    <x v="0"/>
    <x v="3"/>
    <x v="3"/>
    <x v="9"/>
    <x v="1"/>
  </r>
  <r>
    <s v="TX501789"/>
    <x v="6"/>
    <x v="7"/>
    <n v="84.7"/>
    <n v="847"/>
    <x v="65"/>
    <d v="2025-03-11T00:00:00"/>
    <x v="2"/>
    <x v="0"/>
    <x v="0"/>
    <x v="0"/>
    <x v="3"/>
    <x v="5"/>
    <x v="9"/>
    <x v="2"/>
  </r>
  <r>
    <s v="TX501790"/>
    <x v="1"/>
    <x v="2"/>
    <n v="93.4"/>
    <n v="280.20000000000005"/>
    <x v="65"/>
    <d v="2025-03-11T00:00:00"/>
    <x v="2"/>
    <x v="3"/>
    <x v="0"/>
    <x v="0"/>
    <x v="3"/>
    <x v="5"/>
    <x v="9"/>
    <x v="2"/>
  </r>
  <r>
    <s v="TX501791"/>
    <x v="8"/>
    <x v="9"/>
    <n v="27"/>
    <n v="135"/>
    <x v="65"/>
    <d v="2025-03-10T00:00:00"/>
    <x v="1"/>
    <x v="0"/>
    <x v="1"/>
    <x v="0"/>
    <x v="3"/>
    <x v="2"/>
    <x v="9"/>
    <x v="1"/>
  </r>
  <r>
    <s v="TX501792"/>
    <x v="0"/>
    <x v="12"/>
    <n v="10.9"/>
    <n v="43.6"/>
    <x v="65"/>
    <d v="2025-03-08T00:00:00"/>
    <x v="1"/>
    <x v="2"/>
    <x v="0"/>
    <x v="0"/>
    <x v="3"/>
    <x v="3"/>
    <x v="9"/>
    <x v="1"/>
  </r>
  <r>
    <s v="TX501793"/>
    <x v="16"/>
    <x v="2"/>
    <n v="48"/>
    <n v="144"/>
    <x v="65"/>
    <d v="2025-03-12T00:00:00"/>
    <x v="2"/>
    <x v="4"/>
    <x v="0"/>
    <x v="0"/>
    <x v="3"/>
    <x v="0"/>
    <x v="9"/>
    <x v="2"/>
  </r>
  <r>
    <s v="TX501794"/>
    <x v="5"/>
    <x v="1"/>
    <n v="67.900000000000006"/>
    <n v="135.80000000000001"/>
    <x v="65"/>
    <d v="2025-03-08T00:00:00"/>
    <x v="1"/>
    <x v="0"/>
    <x v="2"/>
    <x v="0"/>
    <x v="23"/>
    <x v="3"/>
    <x v="9"/>
    <x v="1"/>
  </r>
  <r>
    <s v="TX501795"/>
    <x v="4"/>
    <x v="2"/>
    <n v="36"/>
    <n v="108"/>
    <x v="65"/>
    <d v="2025-03-08T00:00:00"/>
    <x v="1"/>
    <x v="1"/>
    <x v="0"/>
    <x v="0"/>
    <x v="6"/>
    <x v="3"/>
    <x v="9"/>
    <x v="1"/>
  </r>
  <r>
    <s v="TX501796"/>
    <x v="2"/>
    <x v="0"/>
    <n v="128.80000000000001"/>
    <n v="128.80000000000001"/>
    <x v="65"/>
    <d v="2025-03-08T00:00:00"/>
    <x v="1"/>
    <x v="4"/>
    <x v="2"/>
    <x v="0"/>
    <x v="6"/>
    <x v="3"/>
    <x v="9"/>
    <x v="1"/>
  </r>
  <r>
    <s v="TX501797"/>
    <x v="18"/>
    <x v="3"/>
    <n v="33.299999999999997"/>
    <n v="233.09999999999997"/>
    <x v="65"/>
    <d v="2025-03-08T00:00:00"/>
    <x v="2"/>
    <x v="3"/>
    <x v="0"/>
    <x v="0"/>
    <x v="8"/>
    <x v="3"/>
    <x v="9"/>
    <x v="2"/>
  </r>
  <r>
    <s v="TX501798"/>
    <x v="10"/>
    <x v="2"/>
    <n v="37.799999999999997"/>
    <n v="113.39999999999999"/>
    <x v="65"/>
    <d v="2025-03-09T00:00:00"/>
    <x v="1"/>
    <x v="1"/>
    <x v="2"/>
    <x v="0"/>
    <x v="8"/>
    <x v="1"/>
    <x v="9"/>
    <x v="1"/>
  </r>
  <r>
    <s v="TX501799"/>
    <x v="5"/>
    <x v="2"/>
    <n v="26"/>
    <n v="78"/>
    <x v="65"/>
    <d v="2025-03-12T00:00:00"/>
    <x v="2"/>
    <x v="0"/>
    <x v="0"/>
    <x v="0"/>
    <x v="8"/>
    <x v="0"/>
    <x v="9"/>
    <x v="2"/>
  </r>
  <r>
    <s v="TX501800"/>
    <x v="8"/>
    <x v="10"/>
    <n v="28.3"/>
    <n v="537.70000000000005"/>
    <x v="65"/>
    <d v="2025-03-08T00:00:00"/>
    <x v="2"/>
    <x v="3"/>
    <x v="4"/>
    <x v="0"/>
    <x v="8"/>
    <x v="3"/>
    <x v="9"/>
    <x v="2"/>
  </r>
  <r>
    <s v="TX501801"/>
    <x v="8"/>
    <x v="12"/>
    <n v="31.3"/>
    <n v="125.2"/>
    <x v="65"/>
    <d v="2025-03-07T00:00:00"/>
    <x v="2"/>
    <x v="0"/>
    <x v="0"/>
    <x v="0"/>
    <x v="8"/>
    <x v="7"/>
    <x v="9"/>
    <x v="2"/>
  </r>
  <r>
    <s v="TX501802"/>
    <x v="7"/>
    <x v="2"/>
    <n v="69.5"/>
    <n v="208.5"/>
    <x v="65"/>
    <d v="2025-03-08T00:00:00"/>
    <x v="2"/>
    <x v="3"/>
    <x v="2"/>
    <x v="0"/>
    <x v="8"/>
    <x v="3"/>
    <x v="9"/>
    <x v="2"/>
  </r>
  <r>
    <s v="TX501803"/>
    <x v="0"/>
    <x v="1"/>
    <n v="16.7"/>
    <n v="33.4"/>
    <x v="65"/>
    <d v="2025-03-08T00:00:00"/>
    <x v="2"/>
    <x v="3"/>
    <x v="1"/>
    <x v="0"/>
    <x v="8"/>
    <x v="3"/>
    <x v="9"/>
    <x v="2"/>
  </r>
  <r>
    <s v="TX501804"/>
    <x v="9"/>
    <x v="1"/>
    <n v="62.6"/>
    <n v="125.2"/>
    <x v="65"/>
    <d v="2025-03-08T00:00:00"/>
    <x v="1"/>
    <x v="2"/>
    <x v="2"/>
    <x v="0"/>
    <x v="9"/>
    <x v="3"/>
    <x v="9"/>
    <x v="1"/>
  </r>
  <r>
    <s v="TX501805"/>
    <x v="7"/>
    <x v="0"/>
    <n v="81.2"/>
    <n v="81.2"/>
    <x v="65"/>
    <d v="2025-03-13T00:00:00"/>
    <x v="1"/>
    <x v="4"/>
    <x v="4"/>
    <x v="0"/>
    <x v="9"/>
    <x v="4"/>
    <x v="9"/>
    <x v="1"/>
  </r>
  <r>
    <s v="TX501806"/>
    <x v="0"/>
    <x v="7"/>
    <n v="12.7"/>
    <n v="127"/>
    <x v="65"/>
    <d v="2025-03-08T00:00:00"/>
    <x v="2"/>
    <x v="0"/>
    <x v="2"/>
    <x v="0"/>
    <x v="9"/>
    <x v="3"/>
    <x v="9"/>
    <x v="2"/>
  </r>
  <r>
    <s v="TX501807"/>
    <x v="7"/>
    <x v="12"/>
    <n v="77.7"/>
    <n v="310.8"/>
    <x v="66"/>
    <d v="2025-03-12T00:00:00"/>
    <x v="1"/>
    <x v="1"/>
    <x v="0"/>
    <x v="0"/>
    <x v="11"/>
    <x v="5"/>
    <x v="9"/>
    <x v="1"/>
  </r>
  <r>
    <s v="TX501808"/>
    <x v="5"/>
    <x v="1"/>
    <n v="37.299999999999997"/>
    <n v="74.599999999999994"/>
    <x v="66"/>
    <d v="2025-03-09T00:00:00"/>
    <x v="2"/>
    <x v="0"/>
    <x v="2"/>
    <x v="0"/>
    <x v="18"/>
    <x v="3"/>
    <x v="9"/>
    <x v="2"/>
  </r>
  <r>
    <s v="TX501809"/>
    <x v="10"/>
    <x v="12"/>
    <n v="35.6"/>
    <n v="142.4"/>
    <x v="66"/>
    <d v="2025-03-10T00:00:00"/>
    <x v="2"/>
    <x v="1"/>
    <x v="1"/>
    <x v="0"/>
    <x v="19"/>
    <x v="1"/>
    <x v="9"/>
    <x v="2"/>
  </r>
  <r>
    <s v="TX501810"/>
    <x v="2"/>
    <x v="2"/>
    <n v="95"/>
    <n v="285"/>
    <x v="66"/>
    <d v="2025-03-12T00:00:00"/>
    <x v="2"/>
    <x v="2"/>
    <x v="2"/>
    <x v="0"/>
    <x v="56"/>
    <x v="5"/>
    <x v="9"/>
    <x v="2"/>
  </r>
  <r>
    <s v="TX501811"/>
    <x v="2"/>
    <x v="12"/>
    <n v="172.1"/>
    <n v="688.4"/>
    <x v="66"/>
    <d v="2025-03-12T00:00:00"/>
    <x v="3"/>
    <x v="2"/>
    <x v="2"/>
    <x v="0"/>
    <x v="21"/>
    <x v="5"/>
    <x v="9"/>
    <x v="3"/>
  </r>
  <r>
    <s v="TX501812"/>
    <x v="2"/>
    <x v="1"/>
    <n v="233"/>
    <n v="466"/>
    <x v="66"/>
    <d v="2025-03-11T00:00:00"/>
    <x v="2"/>
    <x v="1"/>
    <x v="0"/>
    <x v="0"/>
    <x v="21"/>
    <x v="2"/>
    <x v="9"/>
    <x v="2"/>
  </r>
  <r>
    <s v="TX501813"/>
    <x v="0"/>
    <x v="0"/>
    <n v="43.5"/>
    <n v="43.5"/>
    <x v="66"/>
    <d v="2025-03-09T00:00:00"/>
    <x v="2"/>
    <x v="2"/>
    <x v="2"/>
    <x v="0"/>
    <x v="21"/>
    <x v="3"/>
    <x v="9"/>
    <x v="2"/>
  </r>
  <r>
    <s v="TX501814"/>
    <x v="9"/>
    <x v="1"/>
    <n v="47.8"/>
    <n v="95.6"/>
    <x v="66"/>
    <d v="2025-03-11T00:00:00"/>
    <x v="1"/>
    <x v="4"/>
    <x v="2"/>
    <x v="0"/>
    <x v="1"/>
    <x v="2"/>
    <x v="9"/>
    <x v="1"/>
  </r>
  <r>
    <s v="TX501815"/>
    <x v="12"/>
    <x v="1"/>
    <n v="65.8"/>
    <n v="131.6"/>
    <x v="66"/>
    <d v="2025-03-10T00:00:00"/>
    <x v="2"/>
    <x v="0"/>
    <x v="3"/>
    <x v="0"/>
    <x v="33"/>
    <x v="1"/>
    <x v="9"/>
    <x v="2"/>
  </r>
  <r>
    <s v="TX501816"/>
    <x v="15"/>
    <x v="5"/>
    <n v="38.700000000000003"/>
    <n v="425.70000000000005"/>
    <x v="66"/>
    <d v="2025-03-08T00:00:00"/>
    <x v="1"/>
    <x v="0"/>
    <x v="0"/>
    <x v="0"/>
    <x v="22"/>
    <x v="7"/>
    <x v="9"/>
    <x v="1"/>
  </r>
  <r>
    <s v="TX501817"/>
    <x v="3"/>
    <x v="12"/>
    <n v="55.7"/>
    <n v="222.8"/>
    <x v="66"/>
    <d v="2025-03-10T00:00:00"/>
    <x v="3"/>
    <x v="0"/>
    <x v="1"/>
    <x v="0"/>
    <x v="22"/>
    <x v="1"/>
    <x v="9"/>
    <x v="3"/>
  </r>
  <r>
    <s v="TX501818"/>
    <x v="7"/>
    <x v="1"/>
    <n v="102.4"/>
    <n v="204.8"/>
    <x v="66"/>
    <d v="2025-03-08T00:00:00"/>
    <x v="2"/>
    <x v="1"/>
    <x v="0"/>
    <x v="0"/>
    <x v="3"/>
    <x v="7"/>
    <x v="9"/>
    <x v="2"/>
  </r>
  <r>
    <s v="TX501819"/>
    <x v="1"/>
    <x v="0"/>
    <n v="92"/>
    <n v="92"/>
    <x v="66"/>
    <d v="2025-03-12T00:00:00"/>
    <x v="0"/>
    <x v="2"/>
    <x v="0"/>
    <x v="0"/>
    <x v="3"/>
    <x v="5"/>
    <x v="9"/>
    <x v="0"/>
  </r>
  <r>
    <s v="TX501820"/>
    <x v="6"/>
    <x v="12"/>
    <n v="75.900000000000006"/>
    <n v="303.60000000000002"/>
    <x v="66"/>
    <d v="2025-03-10T00:00:00"/>
    <x v="2"/>
    <x v="1"/>
    <x v="0"/>
    <x v="0"/>
    <x v="3"/>
    <x v="1"/>
    <x v="9"/>
    <x v="2"/>
  </r>
  <r>
    <s v="TX501821"/>
    <x v="1"/>
    <x v="12"/>
    <n v="36.200000000000003"/>
    <n v="144.80000000000001"/>
    <x v="66"/>
    <d v="2025-03-09T00:00:00"/>
    <x v="2"/>
    <x v="1"/>
    <x v="0"/>
    <x v="0"/>
    <x v="3"/>
    <x v="3"/>
    <x v="9"/>
    <x v="2"/>
  </r>
  <r>
    <s v="TX501822"/>
    <x v="6"/>
    <x v="45"/>
    <n v="83.5"/>
    <n v="7264.5"/>
    <x v="66"/>
    <d v="2025-03-10T00:00:00"/>
    <x v="0"/>
    <x v="3"/>
    <x v="0"/>
    <x v="0"/>
    <x v="3"/>
    <x v="1"/>
    <x v="9"/>
    <x v="0"/>
  </r>
  <r>
    <s v="TX501823"/>
    <x v="19"/>
    <x v="4"/>
    <n v="52.4"/>
    <n v="628.79999999999995"/>
    <x v="66"/>
    <d v="2025-03-08T00:00:00"/>
    <x v="1"/>
    <x v="2"/>
    <x v="0"/>
    <x v="0"/>
    <x v="3"/>
    <x v="7"/>
    <x v="9"/>
    <x v="1"/>
  </r>
  <r>
    <s v="TX501824"/>
    <x v="12"/>
    <x v="2"/>
    <n v="69.5"/>
    <n v="208.5"/>
    <x v="66"/>
    <d v="2025-03-09T00:00:00"/>
    <x v="3"/>
    <x v="4"/>
    <x v="0"/>
    <x v="0"/>
    <x v="3"/>
    <x v="3"/>
    <x v="9"/>
    <x v="3"/>
  </r>
  <r>
    <s v="TX501825"/>
    <x v="0"/>
    <x v="0"/>
    <n v="15.5"/>
    <n v="15.5"/>
    <x v="66"/>
    <d v="2025-03-10T00:00:00"/>
    <x v="1"/>
    <x v="0"/>
    <x v="0"/>
    <x v="0"/>
    <x v="3"/>
    <x v="1"/>
    <x v="9"/>
    <x v="1"/>
  </r>
  <r>
    <s v="TX501826"/>
    <x v="4"/>
    <x v="12"/>
    <n v="35.200000000000003"/>
    <n v="140.80000000000001"/>
    <x v="66"/>
    <d v="2025-03-09T00:00:00"/>
    <x v="2"/>
    <x v="2"/>
    <x v="2"/>
    <x v="0"/>
    <x v="3"/>
    <x v="3"/>
    <x v="9"/>
    <x v="2"/>
  </r>
  <r>
    <s v="TX501827"/>
    <x v="8"/>
    <x v="13"/>
    <n v="34.6"/>
    <n v="207.60000000000002"/>
    <x v="66"/>
    <d v="2025-03-09T00:00:00"/>
    <x v="0"/>
    <x v="0"/>
    <x v="1"/>
    <x v="0"/>
    <x v="3"/>
    <x v="3"/>
    <x v="9"/>
    <x v="0"/>
  </r>
  <r>
    <s v="TX501828"/>
    <x v="4"/>
    <x v="0"/>
    <n v="21.3"/>
    <n v="21.3"/>
    <x v="67"/>
    <d v="2025-03-10T00:00:00"/>
    <x v="1"/>
    <x v="2"/>
    <x v="1"/>
    <x v="0"/>
    <x v="3"/>
    <x v="3"/>
    <x v="10"/>
    <x v="1"/>
  </r>
  <r>
    <s v="TX501829"/>
    <x v="6"/>
    <x v="1"/>
    <n v="136.5"/>
    <n v="273"/>
    <x v="67"/>
    <d v="2025-03-15T00:00:00"/>
    <x v="2"/>
    <x v="0"/>
    <x v="0"/>
    <x v="0"/>
    <x v="37"/>
    <x v="4"/>
    <x v="10"/>
    <x v="2"/>
  </r>
  <r>
    <s v="TX501830"/>
    <x v="9"/>
    <x v="3"/>
    <n v="30.7"/>
    <n v="214.9"/>
    <x v="67"/>
    <d v="2025-03-10T00:00:00"/>
    <x v="1"/>
    <x v="2"/>
    <x v="2"/>
    <x v="0"/>
    <x v="25"/>
    <x v="3"/>
    <x v="10"/>
    <x v="1"/>
  </r>
  <r>
    <s v="TX501831"/>
    <x v="1"/>
    <x v="1"/>
    <n v="61.6"/>
    <n v="123.2"/>
    <x v="67"/>
    <d v="2025-03-10T00:00:00"/>
    <x v="2"/>
    <x v="2"/>
    <x v="2"/>
    <x v="0"/>
    <x v="23"/>
    <x v="3"/>
    <x v="10"/>
    <x v="2"/>
  </r>
  <r>
    <s v="TX501832"/>
    <x v="6"/>
    <x v="12"/>
    <n v="54.3"/>
    <n v="217.2"/>
    <x v="67"/>
    <d v="2025-03-11T00:00:00"/>
    <x v="0"/>
    <x v="4"/>
    <x v="0"/>
    <x v="0"/>
    <x v="7"/>
    <x v="1"/>
    <x v="10"/>
    <x v="0"/>
  </r>
  <r>
    <s v="TX501833"/>
    <x v="1"/>
    <x v="1"/>
    <n v="44.1"/>
    <n v="88.2"/>
    <x v="67"/>
    <d v="2025-03-21T00:00:00"/>
    <x v="2"/>
    <x v="0"/>
    <x v="2"/>
    <x v="0"/>
    <x v="8"/>
    <x v="13"/>
    <x v="10"/>
    <x v="2"/>
  </r>
  <r>
    <s v="TX501834"/>
    <x v="8"/>
    <x v="12"/>
    <n v="43.5"/>
    <n v="174"/>
    <x v="67"/>
    <d v="2025-03-15T00:00:00"/>
    <x v="1"/>
    <x v="3"/>
    <x v="0"/>
    <x v="0"/>
    <x v="8"/>
    <x v="4"/>
    <x v="10"/>
    <x v="1"/>
  </r>
  <r>
    <s v="TX501835"/>
    <x v="8"/>
    <x v="2"/>
    <n v="48.2"/>
    <n v="144.60000000000002"/>
    <x v="67"/>
    <d v="2025-03-13T00:00:00"/>
    <x v="1"/>
    <x v="3"/>
    <x v="1"/>
    <x v="0"/>
    <x v="8"/>
    <x v="5"/>
    <x v="10"/>
    <x v="1"/>
  </r>
  <r>
    <s v="TX501836"/>
    <x v="19"/>
    <x v="0"/>
    <n v="13.7"/>
    <n v="13.7"/>
    <x v="67"/>
    <d v="2025-03-10T00:00:00"/>
    <x v="2"/>
    <x v="2"/>
    <x v="2"/>
    <x v="0"/>
    <x v="8"/>
    <x v="3"/>
    <x v="10"/>
    <x v="2"/>
  </r>
  <r>
    <s v="TX501837"/>
    <x v="2"/>
    <x v="1"/>
    <n v="110.5"/>
    <n v="221"/>
    <x v="67"/>
    <d v="2025-03-10T00:00:00"/>
    <x v="2"/>
    <x v="0"/>
    <x v="1"/>
    <x v="0"/>
    <x v="8"/>
    <x v="3"/>
    <x v="10"/>
    <x v="2"/>
  </r>
  <r>
    <s v="TX501838"/>
    <x v="8"/>
    <x v="2"/>
    <n v="26"/>
    <n v="78"/>
    <x v="67"/>
    <d v="2025-03-14T00:00:00"/>
    <x v="2"/>
    <x v="1"/>
    <x v="1"/>
    <x v="0"/>
    <x v="8"/>
    <x v="0"/>
    <x v="10"/>
    <x v="2"/>
  </r>
  <r>
    <s v="TX501839"/>
    <x v="2"/>
    <x v="7"/>
    <n v="140.69999999999999"/>
    <n v="1407"/>
    <x v="67"/>
    <d v="2025-03-15T00:00:00"/>
    <x v="1"/>
    <x v="3"/>
    <x v="1"/>
    <x v="0"/>
    <x v="8"/>
    <x v="4"/>
    <x v="10"/>
    <x v="1"/>
  </r>
  <r>
    <s v="TX501840"/>
    <x v="17"/>
    <x v="1"/>
    <n v="41.7"/>
    <n v="83.4"/>
    <x v="67"/>
    <d v="2025-03-17T00:00:00"/>
    <x v="2"/>
    <x v="0"/>
    <x v="4"/>
    <x v="0"/>
    <x v="8"/>
    <x v="9"/>
    <x v="10"/>
    <x v="2"/>
  </r>
  <r>
    <s v="TX501841"/>
    <x v="2"/>
    <x v="1"/>
    <n v="135.1"/>
    <n v="270.2"/>
    <x v="67"/>
    <d v="2025-03-10T00:00:00"/>
    <x v="1"/>
    <x v="0"/>
    <x v="2"/>
    <x v="0"/>
    <x v="17"/>
    <x v="3"/>
    <x v="10"/>
    <x v="1"/>
  </r>
  <r>
    <s v="TX501842"/>
    <x v="12"/>
    <x v="32"/>
    <n v="95.5"/>
    <n v="2101"/>
    <x v="67"/>
    <d v="2025-03-10T00:00:00"/>
    <x v="2"/>
    <x v="4"/>
    <x v="4"/>
    <x v="0"/>
    <x v="26"/>
    <x v="3"/>
    <x v="10"/>
    <x v="2"/>
  </r>
  <r>
    <s v="TX501843"/>
    <x v="15"/>
    <x v="0"/>
    <n v="25.5"/>
    <n v="25.5"/>
    <x v="67"/>
    <d v="2025-03-12T00:00:00"/>
    <x v="0"/>
    <x v="2"/>
    <x v="2"/>
    <x v="0"/>
    <x v="11"/>
    <x v="2"/>
    <x v="10"/>
    <x v="0"/>
  </r>
  <r>
    <s v="TX501844"/>
    <x v="1"/>
    <x v="0"/>
    <n v="42.6"/>
    <n v="42.6"/>
    <x v="67"/>
    <d v="2025-03-13T00:00:00"/>
    <x v="2"/>
    <x v="0"/>
    <x v="0"/>
    <x v="0"/>
    <x v="11"/>
    <x v="5"/>
    <x v="10"/>
    <x v="2"/>
  </r>
  <r>
    <s v="TX501845"/>
    <x v="8"/>
    <x v="20"/>
    <n v="32.4"/>
    <n v="486"/>
    <x v="67"/>
    <d v="2025-03-10T00:00:00"/>
    <x v="1"/>
    <x v="1"/>
    <x v="1"/>
    <x v="0"/>
    <x v="11"/>
    <x v="3"/>
    <x v="10"/>
    <x v="1"/>
  </r>
  <r>
    <s v="TX501846"/>
    <x v="4"/>
    <x v="12"/>
    <n v="20.2"/>
    <n v="80.8"/>
    <x v="67"/>
    <d v="2025-03-10T00:00:00"/>
    <x v="3"/>
    <x v="2"/>
    <x v="0"/>
    <x v="0"/>
    <x v="11"/>
    <x v="3"/>
    <x v="10"/>
    <x v="3"/>
  </r>
  <r>
    <s v="TX501847"/>
    <x v="16"/>
    <x v="2"/>
    <n v="52.5"/>
    <n v="157.5"/>
    <x v="67"/>
    <d v="2025-03-14T00:00:00"/>
    <x v="2"/>
    <x v="4"/>
    <x v="0"/>
    <x v="0"/>
    <x v="18"/>
    <x v="0"/>
    <x v="10"/>
    <x v="2"/>
  </r>
  <r>
    <s v="TX501848"/>
    <x v="2"/>
    <x v="9"/>
    <n v="59.9"/>
    <n v="299.5"/>
    <x v="67"/>
    <d v="2025-03-11T00:00:00"/>
    <x v="2"/>
    <x v="2"/>
    <x v="0"/>
    <x v="0"/>
    <x v="19"/>
    <x v="1"/>
    <x v="10"/>
    <x v="2"/>
  </r>
  <r>
    <s v="TX501849"/>
    <x v="4"/>
    <x v="1"/>
    <n v="53.2"/>
    <n v="106.4"/>
    <x v="67"/>
    <d v="2025-03-10T00:00:00"/>
    <x v="2"/>
    <x v="1"/>
    <x v="3"/>
    <x v="0"/>
    <x v="20"/>
    <x v="3"/>
    <x v="10"/>
    <x v="2"/>
  </r>
  <r>
    <s v="TX501850"/>
    <x v="2"/>
    <x v="1"/>
    <n v="60"/>
    <n v="120"/>
    <x v="67"/>
    <d v="2025-03-15T00:00:00"/>
    <x v="1"/>
    <x v="1"/>
    <x v="2"/>
    <x v="0"/>
    <x v="20"/>
    <x v="4"/>
    <x v="10"/>
    <x v="1"/>
  </r>
  <r>
    <s v="TX501851"/>
    <x v="8"/>
    <x v="2"/>
    <n v="29.3"/>
    <n v="87.9"/>
    <x v="67"/>
    <d v="2025-03-10T00:00:00"/>
    <x v="2"/>
    <x v="4"/>
    <x v="0"/>
    <x v="0"/>
    <x v="13"/>
    <x v="3"/>
    <x v="10"/>
    <x v="2"/>
  </r>
  <r>
    <s v="TX501852"/>
    <x v="12"/>
    <x v="1"/>
    <n v="55.4"/>
    <n v="110.8"/>
    <x v="67"/>
    <d v="2025-03-10T00:00:00"/>
    <x v="2"/>
    <x v="0"/>
    <x v="2"/>
    <x v="0"/>
    <x v="21"/>
    <x v="3"/>
    <x v="10"/>
    <x v="2"/>
  </r>
  <r>
    <s v="TX501853"/>
    <x v="0"/>
    <x v="9"/>
    <n v="20.100000000000001"/>
    <n v="100.5"/>
    <x v="67"/>
    <d v="2025-03-11T00:00:00"/>
    <x v="2"/>
    <x v="1"/>
    <x v="2"/>
    <x v="0"/>
    <x v="21"/>
    <x v="1"/>
    <x v="10"/>
    <x v="2"/>
  </r>
  <r>
    <s v="TX501854"/>
    <x v="14"/>
    <x v="9"/>
    <n v="24"/>
    <n v="120"/>
    <x v="67"/>
    <d v="2025-03-12T00:00:00"/>
    <x v="1"/>
    <x v="2"/>
    <x v="0"/>
    <x v="0"/>
    <x v="1"/>
    <x v="2"/>
    <x v="10"/>
    <x v="1"/>
  </r>
  <r>
    <s v="TX501855"/>
    <x v="8"/>
    <x v="1"/>
    <n v="30.6"/>
    <n v="61.2"/>
    <x v="68"/>
    <d v="2025-03-12T00:00:00"/>
    <x v="2"/>
    <x v="0"/>
    <x v="0"/>
    <x v="0"/>
    <x v="1"/>
    <x v="1"/>
    <x v="10"/>
    <x v="2"/>
  </r>
  <r>
    <s v="TX501856"/>
    <x v="10"/>
    <x v="9"/>
    <n v="33"/>
    <n v="165"/>
    <x v="68"/>
    <d v="2025-03-11T00:00:00"/>
    <x v="1"/>
    <x v="1"/>
    <x v="1"/>
    <x v="0"/>
    <x v="27"/>
    <x v="3"/>
    <x v="10"/>
    <x v="1"/>
  </r>
  <r>
    <s v="TX501857"/>
    <x v="17"/>
    <x v="11"/>
    <n v="42.1"/>
    <n v="378.90000000000003"/>
    <x v="68"/>
    <d v="2025-03-16T00:00:00"/>
    <x v="2"/>
    <x v="2"/>
    <x v="0"/>
    <x v="0"/>
    <x v="44"/>
    <x v="4"/>
    <x v="10"/>
    <x v="2"/>
  </r>
  <r>
    <s v="TX501858"/>
    <x v="6"/>
    <x v="3"/>
    <n v="77.7"/>
    <n v="543.9"/>
    <x v="68"/>
    <d v="2025-03-15T00:00:00"/>
    <x v="2"/>
    <x v="1"/>
    <x v="2"/>
    <x v="0"/>
    <x v="50"/>
    <x v="0"/>
    <x v="10"/>
    <x v="2"/>
  </r>
  <r>
    <s v="TX501859"/>
    <x v="17"/>
    <x v="13"/>
    <n v="22.7"/>
    <n v="136.19999999999999"/>
    <x v="68"/>
    <d v="2025-03-13T00:00:00"/>
    <x v="2"/>
    <x v="2"/>
    <x v="0"/>
    <x v="0"/>
    <x v="3"/>
    <x v="2"/>
    <x v="10"/>
    <x v="2"/>
  </r>
  <r>
    <s v="TX501860"/>
    <x v="2"/>
    <x v="1"/>
    <n v="133"/>
    <n v="266"/>
    <x v="68"/>
    <d v="2025-03-10T00:00:00"/>
    <x v="1"/>
    <x v="2"/>
    <x v="2"/>
    <x v="0"/>
    <x v="3"/>
    <x v="7"/>
    <x v="10"/>
    <x v="1"/>
  </r>
  <r>
    <s v="TX501861"/>
    <x v="0"/>
    <x v="1"/>
    <n v="23.3"/>
    <n v="46.6"/>
    <x v="68"/>
    <d v="2025-03-11T00:00:00"/>
    <x v="1"/>
    <x v="1"/>
    <x v="2"/>
    <x v="0"/>
    <x v="3"/>
    <x v="3"/>
    <x v="10"/>
    <x v="1"/>
  </r>
  <r>
    <s v="TX501862"/>
    <x v="8"/>
    <x v="2"/>
    <n v="20.7"/>
    <n v="62.099999999999994"/>
    <x v="68"/>
    <d v="2025-03-12T00:00:00"/>
    <x v="3"/>
    <x v="0"/>
    <x v="2"/>
    <x v="0"/>
    <x v="3"/>
    <x v="1"/>
    <x v="10"/>
    <x v="3"/>
  </r>
  <r>
    <s v="TX501863"/>
    <x v="12"/>
    <x v="1"/>
    <n v="47"/>
    <n v="94"/>
    <x v="68"/>
    <d v="2025-03-11T00:00:00"/>
    <x v="1"/>
    <x v="1"/>
    <x v="2"/>
    <x v="0"/>
    <x v="3"/>
    <x v="3"/>
    <x v="10"/>
    <x v="1"/>
  </r>
  <r>
    <s v="TX501864"/>
    <x v="12"/>
    <x v="2"/>
    <n v="38.200000000000003"/>
    <n v="114.60000000000001"/>
    <x v="68"/>
    <d v="2025-03-12T00:00:00"/>
    <x v="2"/>
    <x v="2"/>
    <x v="4"/>
    <x v="0"/>
    <x v="3"/>
    <x v="1"/>
    <x v="10"/>
    <x v="2"/>
  </r>
  <r>
    <s v="TX501865"/>
    <x v="9"/>
    <x v="0"/>
    <n v="39.1"/>
    <n v="39.1"/>
    <x v="68"/>
    <d v="2025-03-12T00:00:00"/>
    <x v="2"/>
    <x v="0"/>
    <x v="0"/>
    <x v="0"/>
    <x v="3"/>
    <x v="1"/>
    <x v="10"/>
    <x v="2"/>
  </r>
  <r>
    <s v="TX501866"/>
    <x v="7"/>
    <x v="30"/>
    <n v="55.6"/>
    <n v="1390"/>
    <x v="68"/>
    <d v="2025-03-12T00:00:00"/>
    <x v="1"/>
    <x v="0"/>
    <x v="2"/>
    <x v="0"/>
    <x v="3"/>
    <x v="1"/>
    <x v="10"/>
    <x v="1"/>
  </r>
  <r>
    <s v="TX501867"/>
    <x v="15"/>
    <x v="0"/>
    <n v="43.1"/>
    <n v="43.1"/>
    <x v="68"/>
    <d v="2025-03-10T00:00:00"/>
    <x v="3"/>
    <x v="1"/>
    <x v="2"/>
    <x v="0"/>
    <x v="3"/>
    <x v="7"/>
    <x v="10"/>
    <x v="3"/>
  </r>
  <r>
    <s v="TX501868"/>
    <x v="6"/>
    <x v="12"/>
    <n v="48.1"/>
    <n v="192.4"/>
    <x v="68"/>
    <d v="2025-03-11T00:00:00"/>
    <x v="2"/>
    <x v="4"/>
    <x v="2"/>
    <x v="0"/>
    <x v="3"/>
    <x v="3"/>
    <x v="10"/>
    <x v="2"/>
  </r>
  <r>
    <s v="TX501869"/>
    <x v="4"/>
    <x v="0"/>
    <n v="42"/>
    <n v="42"/>
    <x v="68"/>
    <d v="2025-03-11T00:00:00"/>
    <x v="3"/>
    <x v="0"/>
    <x v="0"/>
    <x v="0"/>
    <x v="3"/>
    <x v="3"/>
    <x v="10"/>
    <x v="3"/>
  </r>
  <r>
    <s v="TX501870"/>
    <x v="8"/>
    <x v="9"/>
    <n v="18.3"/>
    <n v="91.5"/>
    <x v="68"/>
    <d v="2025-03-10T00:00:00"/>
    <x v="2"/>
    <x v="2"/>
    <x v="0"/>
    <x v="0"/>
    <x v="3"/>
    <x v="7"/>
    <x v="10"/>
    <x v="2"/>
  </r>
  <r>
    <s v="TX501871"/>
    <x v="10"/>
    <x v="12"/>
    <n v="45.3"/>
    <n v="181.2"/>
    <x v="68"/>
    <d v="2025-03-13T00:00:00"/>
    <x v="2"/>
    <x v="0"/>
    <x v="2"/>
    <x v="0"/>
    <x v="3"/>
    <x v="2"/>
    <x v="10"/>
    <x v="2"/>
  </r>
  <r>
    <s v="TX501872"/>
    <x v="0"/>
    <x v="1"/>
    <n v="27.6"/>
    <n v="55.2"/>
    <x v="68"/>
    <d v="2025-03-12T00:00:00"/>
    <x v="1"/>
    <x v="0"/>
    <x v="2"/>
    <x v="0"/>
    <x v="37"/>
    <x v="1"/>
    <x v="10"/>
    <x v="1"/>
  </r>
  <r>
    <s v="TX501873"/>
    <x v="4"/>
    <x v="9"/>
    <n v="26.9"/>
    <n v="134.5"/>
    <x v="68"/>
    <d v="2025-03-11T00:00:00"/>
    <x v="2"/>
    <x v="2"/>
    <x v="0"/>
    <x v="0"/>
    <x v="25"/>
    <x v="3"/>
    <x v="10"/>
    <x v="2"/>
  </r>
  <r>
    <s v="TX501874"/>
    <x v="2"/>
    <x v="11"/>
    <n v="82.4"/>
    <n v="741.6"/>
    <x v="68"/>
    <d v="2025-03-12T00:00:00"/>
    <x v="3"/>
    <x v="2"/>
    <x v="0"/>
    <x v="0"/>
    <x v="5"/>
    <x v="1"/>
    <x v="10"/>
    <x v="3"/>
  </r>
  <r>
    <s v="TX501875"/>
    <x v="6"/>
    <x v="0"/>
    <n v="103.7"/>
    <n v="103.7"/>
    <x v="68"/>
    <d v="2025-03-12T00:00:00"/>
    <x v="2"/>
    <x v="1"/>
    <x v="0"/>
    <x v="0"/>
    <x v="5"/>
    <x v="1"/>
    <x v="10"/>
    <x v="2"/>
  </r>
  <r>
    <s v="TX501876"/>
    <x v="2"/>
    <x v="1"/>
    <n v="58.8"/>
    <n v="117.6"/>
    <x v="68"/>
    <d v="2025-03-15T00:00:00"/>
    <x v="2"/>
    <x v="1"/>
    <x v="2"/>
    <x v="0"/>
    <x v="6"/>
    <x v="0"/>
    <x v="10"/>
    <x v="2"/>
  </r>
  <r>
    <s v="TX501877"/>
    <x v="13"/>
    <x v="0"/>
    <n v="31.5"/>
    <n v="31.5"/>
    <x v="68"/>
    <d v="2025-03-11T00:00:00"/>
    <x v="2"/>
    <x v="1"/>
    <x v="1"/>
    <x v="0"/>
    <x v="6"/>
    <x v="3"/>
    <x v="10"/>
    <x v="2"/>
  </r>
  <r>
    <s v="TX501878"/>
    <x v="7"/>
    <x v="9"/>
    <n v="36.799999999999997"/>
    <n v="184"/>
    <x v="68"/>
    <d v="2025-03-12T00:00:00"/>
    <x v="2"/>
    <x v="0"/>
    <x v="0"/>
    <x v="0"/>
    <x v="8"/>
    <x v="1"/>
    <x v="10"/>
    <x v="2"/>
  </r>
  <r>
    <s v="TX501879"/>
    <x v="3"/>
    <x v="0"/>
    <n v="84.4"/>
    <n v="84.4"/>
    <x v="68"/>
    <d v="2025-03-11T00:00:00"/>
    <x v="2"/>
    <x v="0"/>
    <x v="0"/>
    <x v="0"/>
    <x v="8"/>
    <x v="3"/>
    <x v="10"/>
    <x v="2"/>
  </r>
  <r>
    <s v="TX501880"/>
    <x v="14"/>
    <x v="0"/>
    <n v="44.7"/>
    <n v="44.7"/>
    <x v="68"/>
    <d v="2025-03-11T00:00:00"/>
    <x v="1"/>
    <x v="0"/>
    <x v="1"/>
    <x v="0"/>
    <x v="8"/>
    <x v="3"/>
    <x v="10"/>
    <x v="1"/>
  </r>
  <r>
    <s v="TX501881"/>
    <x v="9"/>
    <x v="8"/>
    <n v="39.4"/>
    <n v="315.2"/>
    <x v="68"/>
    <d v="2025-03-11T00:00:00"/>
    <x v="2"/>
    <x v="1"/>
    <x v="2"/>
    <x v="0"/>
    <x v="8"/>
    <x v="3"/>
    <x v="10"/>
    <x v="2"/>
  </r>
  <r>
    <s v="TX501882"/>
    <x v="11"/>
    <x v="12"/>
    <n v="34.9"/>
    <n v="139.6"/>
    <x v="68"/>
    <d v="2025-03-12T00:00:00"/>
    <x v="2"/>
    <x v="0"/>
    <x v="2"/>
    <x v="0"/>
    <x v="8"/>
    <x v="1"/>
    <x v="10"/>
    <x v="2"/>
  </r>
  <r>
    <s v="TX501883"/>
    <x v="1"/>
    <x v="2"/>
    <n v="62.3"/>
    <n v="186.89999999999998"/>
    <x v="68"/>
    <d v="2025-03-12T00:00:00"/>
    <x v="1"/>
    <x v="4"/>
    <x v="2"/>
    <x v="0"/>
    <x v="8"/>
    <x v="1"/>
    <x v="10"/>
    <x v="1"/>
  </r>
  <r>
    <s v="TX501884"/>
    <x v="8"/>
    <x v="12"/>
    <n v="21.1"/>
    <n v="84.4"/>
    <x v="68"/>
    <d v="2025-03-13T00:00:00"/>
    <x v="1"/>
    <x v="3"/>
    <x v="0"/>
    <x v="0"/>
    <x v="8"/>
    <x v="2"/>
    <x v="10"/>
    <x v="1"/>
  </r>
  <r>
    <s v="TX501885"/>
    <x v="8"/>
    <x v="2"/>
    <n v="33.200000000000003"/>
    <n v="99.600000000000009"/>
    <x v="68"/>
    <d v="2025-03-24T00:00:00"/>
    <x v="0"/>
    <x v="0"/>
    <x v="4"/>
    <x v="0"/>
    <x v="8"/>
    <x v="12"/>
    <x v="10"/>
    <x v="0"/>
  </r>
  <r>
    <s v="TX501886"/>
    <x v="1"/>
    <x v="12"/>
    <n v="74.5"/>
    <n v="298"/>
    <x v="68"/>
    <d v="2025-03-11T00:00:00"/>
    <x v="1"/>
    <x v="4"/>
    <x v="0"/>
    <x v="0"/>
    <x v="8"/>
    <x v="3"/>
    <x v="10"/>
    <x v="1"/>
  </r>
  <r>
    <s v="TX501887"/>
    <x v="10"/>
    <x v="4"/>
    <n v="68.599999999999994"/>
    <n v="823.19999999999993"/>
    <x v="68"/>
    <d v="2025-03-13T00:00:00"/>
    <x v="2"/>
    <x v="0"/>
    <x v="2"/>
    <x v="0"/>
    <x v="8"/>
    <x v="2"/>
    <x v="10"/>
    <x v="2"/>
  </r>
  <r>
    <s v="TX501888"/>
    <x v="5"/>
    <x v="21"/>
    <n v="36.4"/>
    <n v="509.59999999999997"/>
    <x v="68"/>
    <d v="2025-03-12T00:00:00"/>
    <x v="2"/>
    <x v="0"/>
    <x v="1"/>
    <x v="0"/>
    <x v="9"/>
    <x v="1"/>
    <x v="10"/>
    <x v="2"/>
  </r>
  <r>
    <s v="TX501889"/>
    <x v="16"/>
    <x v="9"/>
    <n v="67.599999999999994"/>
    <n v="338"/>
    <x v="69"/>
    <d v="2025-03-14T00:00:00"/>
    <x v="2"/>
    <x v="4"/>
    <x v="1"/>
    <x v="0"/>
    <x v="9"/>
    <x v="2"/>
    <x v="10"/>
    <x v="2"/>
  </r>
  <r>
    <s v="TX501890"/>
    <x v="15"/>
    <x v="0"/>
    <n v="46.3"/>
    <n v="46.3"/>
    <x v="69"/>
    <d v="2025-03-12T00:00:00"/>
    <x v="1"/>
    <x v="2"/>
    <x v="0"/>
    <x v="0"/>
    <x v="9"/>
    <x v="3"/>
    <x v="10"/>
    <x v="1"/>
  </r>
  <r>
    <s v="TX501891"/>
    <x v="1"/>
    <x v="2"/>
    <n v="124.2"/>
    <n v="372.6"/>
    <x v="69"/>
    <d v="2025-03-13T00:00:00"/>
    <x v="2"/>
    <x v="1"/>
    <x v="2"/>
    <x v="0"/>
    <x v="11"/>
    <x v="1"/>
    <x v="10"/>
    <x v="2"/>
  </r>
  <r>
    <s v="TX501892"/>
    <x v="10"/>
    <x v="1"/>
    <n v="37"/>
    <n v="74"/>
    <x v="69"/>
    <d v="2025-03-17T00:00:00"/>
    <x v="1"/>
    <x v="0"/>
    <x v="0"/>
    <x v="0"/>
    <x v="11"/>
    <x v="4"/>
    <x v="10"/>
    <x v="1"/>
  </r>
  <r>
    <s v="TX501893"/>
    <x v="5"/>
    <x v="0"/>
    <n v="41.8"/>
    <n v="41.8"/>
    <x v="69"/>
    <d v="2025-03-12T00:00:00"/>
    <x v="1"/>
    <x v="2"/>
    <x v="0"/>
    <x v="0"/>
    <x v="31"/>
    <x v="3"/>
    <x v="10"/>
    <x v="1"/>
  </r>
  <r>
    <s v="TX501894"/>
    <x v="9"/>
    <x v="1"/>
    <n v="57.2"/>
    <n v="114.4"/>
    <x v="69"/>
    <d v="2025-03-13T00:00:00"/>
    <x v="1"/>
    <x v="2"/>
    <x v="1"/>
    <x v="0"/>
    <x v="20"/>
    <x v="1"/>
    <x v="10"/>
    <x v="1"/>
  </r>
  <r>
    <s v="TX501895"/>
    <x v="6"/>
    <x v="1"/>
    <n v="47.1"/>
    <n v="94.2"/>
    <x v="69"/>
    <d v="2025-03-13T00:00:00"/>
    <x v="2"/>
    <x v="0"/>
    <x v="4"/>
    <x v="0"/>
    <x v="20"/>
    <x v="1"/>
    <x v="10"/>
    <x v="2"/>
  </r>
  <r>
    <s v="TX501896"/>
    <x v="5"/>
    <x v="2"/>
    <n v="86.4"/>
    <n v="259.20000000000005"/>
    <x v="69"/>
    <d v="2025-03-12T00:00:00"/>
    <x v="1"/>
    <x v="2"/>
    <x v="1"/>
    <x v="0"/>
    <x v="52"/>
    <x v="3"/>
    <x v="10"/>
    <x v="1"/>
  </r>
  <r>
    <s v="TX501897"/>
    <x v="6"/>
    <x v="9"/>
    <n v="105"/>
    <n v="525"/>
    <x v="69"/>
    <d v="2025-03-14T00:00:00"/>
    <x v="1"/>
    <x v="0"/>
    <x v="0"/>
    <x v="0"/>
    <x v="13"/>
    <x v="2"/>
    <x v="10"/>
    <x v="1"/>
  </r>
  <r>
    <s v="TX501898"/>
    <x v="18"/>
    <x v="0"/>
    <n v="33"/>
    <n v="33"/>
    <x v="69"/>
    <d v="2025-03-14T00:00:00"/>
    <x v="1"/>
    <x v="4"/>
    <x v="0"/>
    <x v="0"/>
    <x v="21"/>
    <x v="2"/>
    <x v="10"/>
    <x v="1"/>
  </r>
  <r>
    <s v="TX501899"/>
    <x v="6"/>
    <x v="9"/>
    <n v="106.6"/>
    <n v="533"/>
    <x v="69"/>
    <d v="2025-03-24T00:00:00"/>
    <x v="2"/>
    <x v="2"/>
    <x v="0"/>
    <x v="0"/>
    <x v="1"/>
    <x v="10"/>
    <x v="10"/>
    <x v="2"/>
  </r>
  <r>
    <s v="TX501900"/>
    <x v="10"/>
    <x v="46"/>
    <n v="26.8"/>
    <n v="857.6"/>
    <x v="69"/>
    <d v="2025-03-12T00:00:00"/>
    <x v="2"/>
    <x v="2"/>
    <x v="0"/>
    <x v="0"/>
    <x v="1"/>
    <x v="3"/>
    <x v="10"/>
    <x v="2"/>
  </r>
  <r>
    <s v="TX501901"/>
    <x v="17"/>
    <x v="9"/>
    <n v="25.8"/>
    <n v="129"/>
    <x v="69"/>
    <d v="2025-03-11T00:00:00"/>
    <x v="2"/>
    <x v="1"/>
    <x v="2"/>
    <x v="0"/>
    <x v="3"/>
    <x v="7"/>
    <x v="10"/>
    <x v="2"/>
  </r>
  <r>
    <s v="TX501902"/>
    <x v="2"/>
    <x v="2"/>
    <n v="217"/>
    <n v="651"/>
    <x v="69"/>
    <d v="2025-03-12T00:00:00"/>
    <x v="2"/>
    <x v="1"/>
    <x v="1"/>
    <x v="0"/>
    <x v="3"/>
    <x v="3"/>
    <x v="10"/>
    <x v="2"/>
  </r>
  <r>
    <s v="TX501903"/>
    <x v="2"/>
    <x v="1"/>
    <n v="97.3"/>
    <n v="194.6"/>
    <x v="69"/>
    <d v="2025-03-12T00:00:00"/>
    <x v="1"/>
    <x v="2"/>
    <x v="4"/>
    <x v="0"/>
    <x v="3"/>
    <x v="3"/>
    <x v="10"/>
    <x v="1"/>
  </r>
  <r>
    <s v="TX501904"/>
    <x v="1"/>
    <x v="0"/>
    <n v="49.8"/>
    <n v="49.8"/>
    <x v="69"/>
    <d v="2025-03-12T00:00:00"/>
    <x v="2"/>
    <x v="0"/>
    <x v="0"/>
    <x v="0"/>
    <x v="3"/>
    <x v="3"/>
    <x v="10"/>
    <x v="2"/>
  </r>
  <r>
    <s v="TX501905"/>
    <x v="12"/>
    <x v="9"/>
    <n v="32.6"/>
    <n v="163"/>
    <x v="69"/>
    <d v="2025-03-12T00:00:00"/>
    <x v="2"/>
    <x v="0"/>
    <x v="0"/>
    <x v="0"/>
    <x v="3"/>
    <x v="3"/>
    <x v="10"/>
    <x v="2"/>
  </r>
  <r>
    <s v="TX501906"/>
    <x v="9"/>
    <x v="1"/>
    <n v="40.1"/>
    <n v="80.2"/>
    <x v="69"/>
    <d v="2025-03-14T00:00:00"/>
    <x v="1"/>
    <x v="1"/>
    <x v="2"/>
    <x v="0"/>
    <x v="3"/>
    <x v="2"/>
    <x v="10"/>
    <x v="1"/>
  </r>
  <r>
    <s v="TX501907"/>
    <x v="10"/>
    <x v="1"/>
    <n v="49.4"/>
    <n v="98.8"/>
    <x v="69"/>
    <d v="2025-03-13T00:00:00"/>
    <x v="1"/>
    <x v="1"/>
    <x v="0"/>
    <x v="0"/>
    <x v="3"/>
    <x v="1"/>
    <x v="10"/>
    <x v="1"/>
  </r>
  <r>
    <s v="TX501908"/>
    <x v="2"/>
    <x v="0"/>
    <n v="67.3"/>
    <n v="67.3"/>
    <x v="69"/>
    <d v="2025-03-12T00:00:00"/>
    <x v="2"/>
    <x v="0"/>
    <x v="2"/>
    <x v="0"/>
    <x v="3"/>
    <x v="3"/>
    <x v="10"/>
    <x v="2"/>
  </r>
  <r>
    <s v="TX501909"/>
    <x v="18"/>
    <x v="12"/>
    <n v="44.5"/>
    <n v="178"/>
    <x v="69"/>
    <d v="2025-03-14T00:00:00"/>
    <x v="0"/>
    <x v="1"/>
    <x v="0"/>
    <x v="0"/>
    <x v="3"/>
    <x v="2"/>
    <x v="10"/>
    <x v="0"/>
  </r>
  <r>
    <s v="TX501910"/>
    <x v="6"/>
    <x v="5"/>
    <n v="111.1"/>
    <n v="1222.0999999999999"/>
    <x v="69"/>
    <d v="2025-03-12T00:00:00"/>
    <x v="2"/>
    <x v="4"/>
    <x v="0"/>
    <x v="0"/>
    <x v="3"/>
    <x v="3"/>
    <x v="10"/>
    <x v="2"/>
  </r>
  <r>
    <s v="TX501911"/>
    <x v="8"/>
    <x v="2"/>
    <n v="19.7"/>
    <n v="59.099999999999994"/>
    <x v="69"/>
    <d v="2025-03-12T00:00:00"/>
    <x v="2"/>
    <x v="4"/>
    <x v="4"/>
    <x v="0"/>
    <x v="3"/>
    <x v="3"/>
    <x v="10"/>
    <x v="2"/>
  </r>
  <r>
    <s v="TX501912"/>
    <x v="1"/>
    <x v="0"/>
    <n v="40.299999999999997"/>
    <n v="40.299999999999997"/>
    <x v="69"/>
    <d v="2025-03-12T00:00:00"/>
    <x v="3"/>
    <x v="1"/>
    <x v="0"/>
    <x v="0"/>
    <x v="3"/>
    <x v="3"/>
    <x v="10"/>
    <x v="3"/>
  </r>
  <r>
    <s v="TX501913"/>
    <x v="6"/>
    <x v="1"/>
    <n v="108.8"/>
    <n v="217.6"/>
    <x v="69"/>
    <d v="2025-03-16T00:00:00"/>
    <x v="1"/>
    <x v="0"/>
    <x v="2"/>
    <x v="0"/>
    <x v="6"/>
    <x v="0"/>
    <x v="10"/>
    <x v="1"/>
  </r>
  <r>
    <s v="TX501914"/>
    <x v="8"/>
    <x v="2"/>
    <n v="48.2"/>
    <n v="144.60000000000002"/>
    <x v="69"/>
    <d v="2025-03-16T00:00:00"/>
    <x v="2"/>
    <x v="4"/>
    <x v="0"/>
    <x v="0"/>
    <x v="7"/>
    <x v="0"/>
    <x v="10"/>
    <x v="2"/>
  </r>
  <r>
    <s v="TX501915"/>
    <x v="2"/>
    <x v="2"/>
    <n v="104.7"/>
    <n v="314.10000000000002"/>
    <x v="69"/>
    <d v="2025-03-13T00:00:00"/>
    <x v="2"/>
    <x v="0"/>
    <x v="1"/>
    <x v="0"/>
    <x v="7"/>
    <x v="1"/>
    <x v="10"/>
    <x v="2"/>
  </r>
  <r>
    <s v="TX501916"/>
    <x v="1"/>
    <x v="1"/>
    <n v="80.599999999999994"/>
    <n v="161.19999999999999"/>
    <x v="69"/>
    <d v="2025-03-11T00:00:00"/>
    <x v="2"/>
    <x v="1"/>
    <x v="0"/>
    <x v="0"/>
    <x v="8"/>
    <x v="7"/>
    <x v="10"/>
    <x v="2"/>
  </r>
  <r>
    <s v="TX501917"/>
    <x v="6"/>
    <x v="0"/>
    <n v="65.5"/>
    <n v="65.5"/>
    <x v="69"/>
    <d v="2025-03-13T00:00:00"/>
    <x v="3"/>
    <x v="1"/>
    <x v="0"/>
    <x v="0"/>
    <x v="8"/>
    <x v="1"/>
    <x v="10"/>
    <x v="3"/>
  </r>
  <r>
    <s v="TX501918"/>
    <x v="9"/>
    <x v="2"/>
    <n v="61.4"/>
    <n v="184.2"/>
    <x v="69"/>
    <d v="2025-03-13T00:00:00"/>
    <x v="2"/>
    <x v="4"/>
    <x v="2"/>
    <x v="0"/>
    <x v="8"/>
    <x v="1"/>
    <x v="10"/>
    <x v="2"/>
  </r>
  <r>
    <s v="TX501919"/>
    <x v="0"/>
    <x v="0"/>
    <n v="12.5"/>
    <n v="12.5"/>
    <x v="70"/>
    <d v="2025-03-15T00:00:00"/>
    <x v="2"/>
    <x v="0"/>
    <x v="1"/>
    <x v="0"/>
    <x v="8"/>
    <x v="2"/>
    <x v="10"/>
    <x v="2"/>
  </r>
  <r>
    <s v="TX501920"/>
    <x v="4"/>
    <x v="12"/>
    <n v="35.1"/>
    <n v="140.4"/>
    <x v="70"/>
    <d v="2025-03-13T00:00:00"/>
    <x v="1"/>
    <x v="2"/>
    <x v="1"/>
    <x v="0"/>
    <x v="17"/>
    <x v="3"/>
    <x v="10"/>
    <x v="1"/>
  </r>
  <r>
    <s v="TX501921"/>
    <x v="5"/>
    <x v="1"/>
    <n v="55.7"/>
    <n v="111.4"/>
    <x v="70"/>
    <d v="2025-03-13T00:00:00"/>
    <x v="1"/>
    <x v="0"/>
    <x v="1"/>
    <x v="0"/>
    <x v="26"/>
    <x v="3"/>
    <x v="10"/>
    <x v="1"/>
  </r>
  <r>
    <s v="TX501922"/>
    <x v="7"/>
    <x v="1"/>
    <n v="57.7"/>
    <n v="115.4"/>
    <x v="70"/>
    <d v="2025-03-14T00:00:00"/>
    <x v="1"/>
    <x v="4"/>
    <x v="1"/>
    <x v="0"/>
    <x v="9"/>
    <x v="1"/>
    <x v="10"/>
    <x v="1"/>
  </r>
  <r>
    <s v="TX501923"/>
    <x v="2"/>
    <x v="13"/>
    <n v="85.7"/>
    <n v="514.20000000000005"/>
    <x v="70"/>
    <d v="2025-03-13T00:00:00"/>
    <x v="1"/>
    <x v="3"/>
    <x v="2"/>
    <x v="0"/>
    <x v="9"/>
    <x v="3"/>
    <x v="10"/>
    <x v="1"/>
  </r>
  <r>
    <s v="TX501924"/>
    <x v="2"/>
    <x v="2"/>
    <n v="86.9"/>
    <n v="260.70000000000005"/>
    <x v="70"/>
    <d v="2025-03-14T00:00:00"/>
    <x v="2"/>
    <x v="1"/>
    <x v="0"/>
    <x v="0"/>
    <x v="11"/>
    <x v="1"/>
    <x v="10"/>
    <x v="2"/>
  </r>
  <r>
    <s v="TX501925"/>
    <x v="18"/>
    <x v="1"/>
    <n v="46.4"/>
    <n v="92.8"/>
    <x v="70"/>
    <d v="2025-03-15T00:00:00"/>
    <x v="2"/>
    <x v="4"/>
    <x v="0"/>
    <x v="0"/>
    <x v="11"/>
    <x v="2"/>
    <x v="10"/>
    <x v="2"/>
  </r>
  <r>
    <s v="TX501926"/>
    <x v="5"/>
    <x v="2"/>
    <n v="25.4"/>
    <n v="76.199999999999989"/>
    <x v="70"/>
    <d v="2025-03-12T00:00:00"/>
    <x v="2"/>
    <x v="2"/>
    <x v="2"/>
    <x v="0"/>
    <x v="18"/>
    <x v="7"/>
    <x v="10"/>
    <x v="2"/>
  </r>
  <r>
    <s v="TX501927"/>
    <x v="10"/>
    <x v="2"/>
    <n v="47.8"/>
    <n v="143.39999999999998"/>
    <x v="70"/>
    <d v="2025-03-12T00:00:00"/>
    <x v="0"/>
    <x v="2"/>
    <x v="2"/>
    <x v="0"/>
    <x v="19"/>
    <x v="7"/>
    <x v="10"/>
    <x v="0"/>
  </r>
  <r>
    <s v="TX501928"/>
    <x v="8"/>
    <x v="10"/>
    <n v="18.399999999999999"/>
    <n v="349.59999999999997"/>
    <x v="70"/>
    <d v="2025-03-14T00:00:00"/>
    <x v="3"/>
    <x v="2"/>
    <x v="0"/>
    <x v="0"/>
    <x v="20"/>
    <x v="1"/>
    <x v="10"/>
    <x v="3"/>
  </r>
  <r>
    <s v="TX501929"/>
    <x v="12"/>
    <x v="2"/>
    <n v="65.5"/>
    <n v="196.5"/>
    <x v="70"/>
    <d v="2025-03-20T00:00:00"/>
    <x v="2"/>
    <x v="0"/>
    <x v="0"/>
    <x v="0"/>
    <x v="21"/>
    <x v="9"/>
    <x v="10"/>
    <x v="2"/>
  </r>
  <r>
    <s v="TX501930"/>
    <x v="10"/>
    <x v="1"/>
    <n v="50.6"/>
    <n v="101.2"/>
    <x v="70"/>
    <d v="2025-03-15T00:00:00"/>
    <x v="1"/>
    <x v="2"/>
    <x v="4"/>
    <x v="0"/>
    <x v="21"/>
    <x v="2"/>
    <x v="10"/>
    <x v="1"/>
  </r>
  <r>
    <s v="TX501931"/>
    <x v="3"/>
    <x v="9"/>
    <n v="69"/>
    <n v="345"/>
    <x v="70"/>
    <d v="2025-03-16T00:00:00"/>
    <x v="1"/>
    <x v="3"/>
    <x v="0"/>
    <x v="0"/>
    <x v="21"/>
    <x v="5"/>
    <x v="10"/>
    <x v="1"/>
  </r>
  <r>
    <s v="TX501932"/>
    <x v="9"/>
    <x v="8"/>
    <n v="51.1"/>
    <n v="408.8"/>
    <x v="70"/>
    <d v="2025-03-14T00:00:00"/>
    <x v="2"/>
    <x v="0"/>
    <x v="0"/>
    <x v="0"/>
    <x v="1"/>
    <x v="1"/>
    <x v="10"/>
    <x v="2"/>
  </r>
  <r>
    <s v="TX501933"/>
    <x v="9"/>
    <x v="0"/>
    <n v="36.1"/>
    <n v="36.1"/>
    <x v="70"/>
    <d v="2025-03-13T00:00:00"/>
    <x v="2"/>
    <x v="0"/>
    <x v="2"/>
    <x v="0"/>
    <x v="34"/>
    <x v="3"/>
    <x v="10"/>
    <x v="2"/>
  </r>
  <r>
    <s v="TX501934"/>
    <x v="14"/>
    <x v="0"/>
    <n v="18.7"/>
    <n v="18.7"/>
    <x v="70"/>
    <d v="2025-03-13T00:00:00"/>
    <x v="1"/>
    <x v="0"/>
    <x v="0"/>
    <x v="0"/>
    <x v="3"/>
    <x v="3"/>
    <x v="10"/>
    <x v="1"/>
  </r>
  <r>
    <s v="TX501935"/>
    <x v="17"/>
    <x v="0"/>
    <n v="30.1"/>
    <n v="30.1"/>
    <x v="70"/>
    <d v="2025-03-15T00:00:00"/>
    <x v="2"/>
    <x v="3"/>
    <x v="1"/>
    <x v="0"/>
    <x v="3"/>
    <x v="2"/>
    <x v="10"/>
    <x v="2"/>
  </r>
  <r>
    <s v="TX501936"/>
    <x v="8"/>
    <x v="0"/>
    <n v="16.3"/>
    <n v="16.3"/>
    <x v="70"/>
    <d v="2025-03-13T00:00:00"/>
    <x v="1"/>
    <x v="3"/>
    <x v="0"/>
    <x v="0"/>
    <x v="3"/>
    <x v="3"/>
    <x v="10"/>
    <x v="1"/>
  </r>
  <r>
    <s v="TX501937"/>
    <x v="1"/>
    <x v="2"/>
    <n v="63.8"/>
    <n v="191.39999999999998"/>
    <x v="70"/>
    <d v="2025-03-17T00:00:00"/>
    <x v="2"/>
    <x v="2"/>
    <x v="1"/>
    <x v="0"/>
    <x v="3"/>
    <x v="0"/>
    <x v="10"/>
    <x v="2"/>
  </r>
  <r>
    <s v="TX501938"/>
    <x v="1"/>
    <x v="3"/>
    <n v="73.900000000000006"/>
    <n v="517.30000000000007"/>
    <x v="70"/>
    <d v="2025-03-12T00:00:00"/>
    <x v="2"/>
    <x v="0"/>
    <x v="1"/>
    <x v="0"/>
    <x v="3"/>
    <x v="7"/>
    <x v="10"/>
    <x v="2"/>
  </r>
  <r>
    <s v="TX501939"/>
    <x v="0"/>
    <x v="1"/>
    <n v="20.2"/>
    <n v="40.4"/>
    <x v="70"/>
    <d v="2025-03-13T00:00:00"/>
    <x v="1"/>
    <x v="0"/>
    <x v="1"/>
    <x v="0"/>
    <x v="3"/>
    <x v="3"/>
    <x v="10"/>
    <x v="1"/>
  </r>
  <r>
    <s v="TX501940"/>
    <x v="11"/>
    <x v="5"/>
    <n v="29.5"/>
    <n v="324.5"/>
    <x v="70"/>
    <d v="2025-03-13T00:00:00"/>
    <x v="1"/>
    <x v="0"/>
    <x v="0"/>
    <x v="0"/>
    <x v="3"/>
    <x v="3"/>
    <x v="10"/>
    <x v="1"/>
  </r>
  <r>
    <s v="TX501941"/>
    <x v="15"/>
    <x v="3"/>
    <n v="37.9"/>
    <n v="265.3"/>
    <x v="70"/>
    <d v="2025-03-13T00:00:00"/>
    <x v="1"/>
    <x v="1"/>
    <x v="0"/>
    <x v="0"/>
    <x v="3"/>
    <x v="3"/>
    <x v="10"/>
    <x v="1"/>
  </r>
  <r>
    <s v="TX501942"/>
    <x v="2"/>
    <x v="0"/>
    <n v="56.5"/>
    <n v="56.5"/>
    <x v="70"/>
    <d v="2025-03-13T00:00:00"/>
    <x v="2"/>
    <x v="2"/>
    <x v="1"/>
    <x v="0"/>
    <x v="3"/>
    <x v="3"/>
    <x v="10"/>
    <x v="2"/>
  </r>
  <r>
    <s v="TX501943"/>
    <x v="2"/>
    <x v="1"/>
    <n v="66.900000000000006"/>
    <n v="133.80000000000001"/>
    <x v="70"/>
    <d v="2025-03-18T00:00:00"/>
    <x v="1"/>
    <x v="1"/>
    <x v="4"/>
    <x v="0"/>
    <x v="25"/>
    <x v="4"/>
    <x v="10"/>
    <x v="1"/>
  </r>
  <r>
    <s v="TX501944"/>
    <x v="2"/>
    <x v="9"/>
    <n v="51.9"/>
    <n v="259.5"/>
    <x v="70"/>
    <d v="2025-03-15T00:00:00"/>
    <x v="1"/>
    <x v="1"/>
    <x v="0"/>
    <x v="0"/>
    <x v="7"/>
    <x v="2"/>
    <x v="10"/>
    <x v="1"/>
  </r>
  <r>
    <s v="TX501945"/>
    <x v="2"/>
    <x v="1"/>
    <n v="75.599999999999994"/>
    <n v="151.19999999999999"/>
    <x v="70"/>
    <d v="2025-03-15T00:00:00"/>
    <x v="1"/>
    <x v="1"/>
    <x v="0"/>
    <x v="0"/>
    <x v="8"/>
    <x v="2"/>
    <x v="10"/>
    <x v="1"/>
  </r>
  <r>
    <s v="TX501946"/>
    <x v="12"/>
    <x v="13"/>
    <n v="47.3"/>
    <n v="283.79999999999995"/>
    <x v="70"/>
    <d v="2025-03-23T00:00:00"/>
    <x v="1"/>
    <x v="0"/>
    <x v="0"/>
    <x v="0"/>
    <x v="8"/>
    <x v="11"/>
    <x v="10"/>
    <x v="1"/>
  </r>
  <r>
    <s v="TX501947"/>
    <x v="4"/>
    <x v="0"/>
    <n v="20.6"/>
    <n v="20.6"/>
    <x v="70"/>
    <d v="2025-03-13T00:00:00"/>
    <x v="0"/>
    <x v="0"/>
    <x v="1"/>
    <x v="0"/>
    <x v="8"/>
    <x v="3"/>
    <x v="10"/>
    <x v="0"/>
  </r>
  <r>
    <s v="TX501948"/>
    <x v="6"/>
    <x v="2"/>
    <n v="49.7"/>
    <n v="149.10000000000002"/>
    <x v="70"/>
    <d v="2025-03-14T00:00:00"/>
    <x v="1"/>
    <x v="0"/>
    <x v="1"/>
    <x v="0"/>
    <x v="8"/>
    <x v="1"/>
    <x v="10"/>
    <x v="1"/>
  </r>
  <r>
    <s v="TX501949"/>
    <x v="3"/>
    <x v="0"/>
    <n v="37.9"/>
    <n v="37.9"/>
    <x v="70"/>
    <d v="2025-03-14T00:00:00"/>
    <x v="2"/>
    <x v="0"/>
    <x v="0"/>
    <x v="0"/>
    <x v="8"/>
    <x v="1"/>
    <x v="10"/>
    <x v="2"/>
  </r>
  <r>
    <s v="TX501950"/>
    <x v="13"/>
    <x v="20"/>
    <n v="32"/>
    <n v="480"/>
    <x v="70"/>
    <d v="2025-03-14T00:00:00"/>
    <x v="2"/>
    <x v="4"/>
    <x v="0"/>
    <x v="0"/>
    <x v="11"/>
    <x v="1"/>
    <x v="10"/>
    <x v="2"/>
  </r>
  <r>
    <s v="TX501951"/>
    <x v="10"/>
    <x v="16"/>
    <n v="38.5"/>
    <n v="693"/>
    <x v="71"/>
    <d v="2025-03-14T00:00:00"/>
    <x v="1"/>
    <x v="0"/>
    <x v="2"/>
    <x v="0"/>
    <x v="11"/>
    <x v="3"/>
    <x v="10"/>
    <x v="1"/>
  </r>
  <r>
    <s v="TX501952"/>
    <x v="0"/>
    <x v="12"/>
    <n v="11.7"/>
    <n v="46.8"/>
    <x v="71"/>
    <d v="2025-03-15T00:00:00"/>
    <x v="2"/>
    <x v="1"/>
    <x v="0"/>
    <x v="0"/>
    <x v="20"/>
    <x v="1"/>
    <x v="10"/>
    <x v="2"/>
  </r>
  <r>
    <s v="TX501953"/>
    <x v="3"/>
    <x v="13"/>
    <n v="83.8"/>
    <n v="502.79999999999995"/>
    <x v="71"/>
    <d v="2025-03-14T00:00:00"/>
    <x v="1"/>
    <x v="0"/>
    <x v="0"/>
    <x v="0"/>
    <x v="21"/>
    <x v="3"/>
    <x v="10"/>
    <x v="1"/>
  </r>
  <r>
    <s v="TX501954"/>
    <x v="0"/>
    <x v="3"/>
    <n v="14"/>
    <n v="98"/>
    <x v="71"/>
    <d v="2025-03-16T00:00:00"/>
    <x v="1"/>
    <x v="0"/>
    <x v="1"/>
    <x v="0"/>
    <x v="22"/>
    <x v="2"/>
    <x v="10"/>
    <x v="1"/>
  </r>
  <r>
    <s v="TX501955"/>
    <x v="16"/>
    <x v="12"/>
    <n v="77.3"/>
    <n v="309.2"/>
    <x v="71"/>
    <d v="2025-03-15T00:00:00"/>
    <x v="2"/>
    <x v="4"/>
    <x v="2"/>
    <x v="0"/>
    <x v="3"/>
    <x v="1"/>
    <x v="10"/>
    <x v="2"/>
  </r>
  <r>
    <s v="TX501956"/>
    <x v="2"/>
    <x v="1"/>
    <n v="76.900000000000006"/>
    <n v="153.80000000000001"/>
    <x v="71"/>
    <d v="2025-03-17T00:00:00"/>
    <x v="2"/>
    <x v="0"/>
    <x v="1"/>
    <x v="0"/>
    <x v="3"/>
    <x v="5"/>
    <x v="10"/>
    <x v="2"/>
  </r>
  <r>
    <s v="TX501957"/>
    <x v="1"/>
    <x v="0"/>
    <n v="48"/>
    <n v="48"/>
    <x v="71"/>
    <d v="2025-03-15T00:00:00"/>
    <x v="2"/>
    <x v="1"/>
    <x v="2"/>
    <x v="0"/>
    <x v="3"/>
    <x v="1"/>
    <x v="10"/>
    <x v="2"/>
  </r>
  <r>
    <s v="TX501958"/>
    <x v="2"/>
    <x v="0"/>
    <n v="94.5"/>
    <n v="94.5"/>
    <x v="71"/>
    <d v="2025-03-16T00:00:00"/>
    <x v="1"/>
    <x v="1"/>
    <x v="1"/>
    <x v="0"/>
    <x v="3"/>
    <x v="2"/>
    <x v="10"/>
    <x v="1"/>
  </r>
  <r>
    <s v="TX501959"/>
    <x v="10"/>
    <x v="2"/>
    <n v="58.4"/>
    <n v="175.2"/>
    <x v="71"/>
    <d v="2025-03-15T00:00:00"/>
    <x v="2"/>
    <x v="1"/>
    <x v="2"/>
    <x v="0"/>
    <x v="3"/>
    <x v="1"/>
    <x v="10"/>
    <x v="2"/>
  </r>
  <r>
    <s v="TX501960"/>
    <x v="7"/>
    <x v="15"/>
    <n v="42.2"/>
    <n v="548.6"/>
    <x v="71"/>
    <d v="2025-03-13T00:00:00"/>
    <x v="1"/>
    <x v="0"/>
    <x v="0"/>
    <x v="0"/>
    <x v="25"/>
    <x v="7"/>
    <x v="10"/>
    <x v="1"/>
  </r>
  <r>
    <s v="TX501961"/>
    <x v="6"/>
    <x v="1"/>
    <n v="152.19999999999999"/>
    <n v="304.39999999999998"/>
    <x v="71"/>
    <d v="2025-03-14T00:00:00"/>
    <x v="1"/>
    <x v="4"/>
    <x v="1"/>
    <x v="0"/>
    <x v="25"/>
    <x v="3"/>
    <x v="10"/>
    <x v="1"/>
  </r>
  <r>
    <s v="TX501962"/>
    <x v="6"/>
    <x v="25"/>
    <n v="72"/>
    <n v="1728"/>
    <x v="71"/>
    <d v="2025-03-14T00:00:00"/>
    <x v="1"/>
    <x v="0"/>
    <x v="1"/>
    <x v="0"/>
    <x v="6"/>
    <x v="3"/>
    <x v="10"/>
    <x v="1"/>
  </r>
  <r>
    <s v="TX501963"/>
    <x v="1"/>
    <x v="44"/>
    <n v="70.900000000000006"/>
    <n v="1630.7"/>
    <x v="71"/>
    <d v="2025-03-14T00:00:00"/>
    <x v="2"/>
    <x v="2"/>
    <x v="0"/>
    <x v="0"/>
    <x v="8"/>
    <x v="3"/>
    <x v="10"/>
    <x v="2"/>
  </r>
  <r>
    <s v="TX501964"/>
    <x v="2"/>
    <x v="1"/>
    <n v="53.7"/>
    <n v="107.4"/>
    <x v="71"/>
    <d v="2025-03-14T00:00:00"/>
    <x v="1"/>
    <x v="2"/>
    <x v="2"/>
    <x v="0"/>
    <x v="8"/>
    <x v="3"/>
    <x v="10"/>
    <x v="1"/>
  </r>
  <r>
    <s v="TX501965"/>
    <x v="9"/>
    <x v="12"/>
    <n v="42.9"/>
    <n v="171.6"/>
    <x v="71"/>
    <d v="2025-03-14T00:00:00"/>
    <x v="2"/>
    <x v="2"/>
    <x v="4"/>
    <x v="0"/>
    <x v="9"/>
    <x v="3"/>
    <x v="10"/>
    <x v="2"/>
  </r>
  <r>
    <s v="TX501966"/>
    <x v="2"/>
    <x v="3"/>
    <n v="107.5"/>
    <n v="752.5"/>
    <x v="71"/>
    <d v="2025-03-14T00:00:00"/>
    <x v="1"/>
    <x v="1"/>
    <x v="0"/>
    <x v="0"/>
    <x v="11"/>
    <x v="3"/>
    <x v="10"/>
    <x v="1"/>
  </r>
  <r>
    <s v="TX501967"/>
    <x v="17"/>
    <x v="27"/>
    <n v="21.5"/>
    <n v="344"/>
    <x v="71"/>
    <d v="2025-03-14T00:00:00"/>
    <x v="1"/>
    <x v="1"/>
    <x v="1"/>
    <x v="0"/>
    <x v="32"/>
    <x v="3"/>
    <x v="10"/>
    <x v="1"/>
  </r>
  <r>
    <s v="TX501968"/>
    <x v="3"/>
    <x v="9"/>
    <n v="85.3"/>
    <n v="426.5"/>
    <x v="71"/>
    <d v="2025-03-15T00:00:00"/>
    <x v="2"/>
    <x v="3"/>
    <x v="0"/>
    <x v="0"/>
    <x v="18"/>
    <x v="1"/>
    <x v="10"/>
    <x v="2"/>
  </r>
  <r>
    <s v="TX501969"/>
    <x v="7"/>
    <x v="9"/>
    <n v="80.8"/>
    <n v="404"/>
    <x v="71"/>
    <d v="2025-03-21T00:00:00"/>
    <x v="3"/>
    <x v="1"/>
    <x v="1"/>
    <x v="0"/>
    <x v="19"/>
    <x v="9"/>
    <x v="10"/>
    <x v="3"/>
  </r>
  <r>
    <s v="TX501970"/>
    <x v="2"/>
    <x v="2"/>
    <n v="123.1"/>
    <n v="369.29999999999995"/>
    <x v="71"/>
    <d v="2025-03-15T00:00:00"/>
    <x v="0"/>
    <x v="2"/>
    <x v="0"/>
    <x v="0"/>
    <x v="21"/>
    <x v="1"/>
    <x v="10"/>
    <x v="0"/>
  </r>
  <r>
    <s v="TX501971"/>
    <x v="8"/>
    <x v="1"/>
    <n v="36.9"/>
    <n v="73.8"/>
    <x v="71"/>
    <d v="2025-03-15T00:00:00"/>
    <x v="2"/>
    <x v="2"/>
    <x v="4"/>
    <x v="0"/>
    <x v="51"/>
    <x v="1"/>
    <x v="10"/>
    <x v="2"/>
  </r>
  <r>
    <s v="TX501972"/>
    <x v="11"/>
    <x v="9"/>
    <n v="40"/>
    <n v="200"/>
    <x v="71"/>
    <d v="2025-03-14T00:00:00"/>
    <x v="1"/>
    <x v="0"/>
    <x v="0"/>
    <x v="0"/>
    <x v="1"/>
    <x v="3"/>
    <x v="10"/>
    <x v="1"/>
  </r>
  <r>
    <s v="TX501973"/>
    <x v="6"/>
    <x v="2"/>
    <n v="55.5"/>
    <n v="166.5"/>
    <x v="71"/>
    <d v="2025-03-14T00:00:00"/>
    <x v="1"/>
    <x v="4"/>
    <x v="2"/>
    <x v="0"/>
    <x v="1"/>
    <x v="3"/>
    <x v="10"/>
    <x v="1"/>
  </r>
  <r>
    <s v="TX501974"/>
    <x v="0"/>
    <x v="12"/>
    <n v="20.5"/>
    <n v="82"/>
    <x v="71"/>
    <d v="2025-03-17T00:00:00"/>
    <x v="2"/>
    <x v="4"/>
    <x v="0"/>
    <x v="0"/>
    <x v="1"/>
    <x v="5"/>
    <x v="10"/>
    <x v="2"/>
  </r>
  <r>
    <s v="TX501975"/>
    <x v="18"/>
    <x v="12"/>
    <n v="50.1"/>
    <n v="200.4"/>
    <x v="71"/>
    <d v="2025-03-14T00:00:00"/>
    <x v="2"/>
    <x v="4"/>
    <x v="0"/>
    <x v="0"/>
    <x v="1"/>
    <x v="3"/>
    <x v="10"/>
    <x v="2"/>
  </r>
  <r>
    <s v="TX501976"/>
    <x v="9"/>
    <x v="0"/>
    <n v="35.9"/>
    <n v="35.9"/>
    <x v="71"/>
    <d v="2025-03-15T00:00:00"/>
    <x v="1"/>
    <x v="1"/>
    <x v="2"/>
    <x v="0"/>
    <x v="1"/>
    <x v="1"/>
    <x v="10"/>
    <x v="1"/>
  </r>
  <r>
    <s v="TX501977"/>
    <x v="13"/>
    <x v="12"/>
    <n v="29.4"/>
    <n v="117.6"/>
    <x v="72"/>
    <d v="2025-03-15T00:00:00"/>
    <x v="1"/>
    <x v="2"/>
    <x v="2"/>
    <x v="0"/>
    <x v="33"/>
    <x v="3"/>
    <x v="10"/>
    <x v="1"/>
  </r>
  <r>
    <s v="TX501978"/>
    <x v="8"/>
    <x v="9"/>
    <n v="29.1"/>
    <n v="145.5"/>
    <x v="72"/>
    <d v="2025-03-22T00:00:00"/>
    <x v="3"/>
    <x v="2"/>
    <x v="1"/>
    <x v="0"/>
    <x v="33"/>
    <x v="9"/>
    <x v="10"/>
    <x v="3"/>
  </r>
  <r>
    <s v="TX501979"/>
    <x v="8"/>
    <x v="2"/>
    <n v="33.5"/>
    <n v="100.5"/>
    <x v="72"/>
    <d v="2025-03-26T00:00:00"/>
    <x v="1"/>
    <x v="0"/>
    <x v="2"/>
    <x v="0"/>
    <x v="22"/>
    <x v="13"/>
    <x v="10"/>
    <x v="1"/>
  </r>
  <r>
    <s v="TX501980"/>
    <x v="4"/>
    <x v="7"/>
    <n v="36"/>
    <n v="360"/>
    <x v="72"/>
    <d v="2025-03-14T00:00:00"/>
    <x v="1"/>
    <x v="3"/>
    <x v="2"/>
    <x v="0"/>
    <x v="3"/>
    <x v="7"/>
    <x v="10"/>
    <x v="1"/>
  </r>
  <r>
    <s v="TX501981"/>
    <x v="16"/>
    <x v="2"/>
    <n v="57.3"/>
    <n v="171.89999999999998"/>
    <x v="72"/>
    <d v="2025-03-18T00:00:00"/>
    <x v="2"/>
    <x v="0"/>
    <x v="2"/>
    <x v="0"/>
    <x v="3"/>
    <x v="5"/>
    <x v="10"/>
    <x v="2"/>
  </r>
  <r>
    <s v="TX501982"/>
    <x v="1"/>
    <x v="0"/>
    <n v="81.400000000000006"/>
    <n v="81.400000000000006"/>
    <x v="72"/>
    <d v="2025-03-15T00:00:00"/>
    <x v="2"/>
    <x v="2"/>
    <x v="2"/>
    <x v="0"/>
    <x v="3"/>
    <x v="3"/>
    <x v="10"/>
    <x v="2"/>
  </r>
  <r>
    <s v="TX501983"/>
    <x v="10"/>
    <x v="1"/>
    <n v="35.299999999999997"/>
    <n v="70.599999999999994"/>
    <x v="72"/>
    <d v="2025-03-18T00:00:00"/>
    <x v="1"/>
    <x v="0"/>
    <x v="2"/>
    <x v="0"/>
    <x v="3"/>
    <x v="5"/>
    <x v="10"/>
    <x v="1"/>
  </r>
  <r>
    <s v="TX501984"/>
    <x v="3"/>
    <x v="0"/>
    <n v="36.1"/>
    <n v="36.1"/>
    <x v="72"/>
    <d v="2025-03-15T00:00:00"/>
    <x v="2"/>
    <x v="4"/>
    <x v="0"/>
    <x v="0"/>
    <x v="3"/>
    <x v="3"/>
    <x v="10"/>
    <x v="2"/>
  </r>
  <r>
    <s v="TX501985"/>
    <x v="1"/>
    <x v="1"/>
    <n v="36.700000000000003"/>
    <n v="73.400000000000006"/>
    <x v="72"/>
    <d v="2025-03-16T00:00:00"/>
    <x v="2"/>
    <x v="0"/>
    <x v="2"/>
    <x v="0"/>
    <x v="3"/>
    <x v="1"/>
    <x v="10"/>
    <x v="2"/>
  </r>
  <r>
    <s v="TX501986"/>
    <x v="10"/>
    <x v="0"/>
    <n v="20.9"/>
    <n v="20.9"/>
    <x v="72"/>
    <d v="2025-03-16T00:00:00"/>
    <x v="2"/>
    <x v="0"/>
    <x v="4"/>
    <x v="0"/>
    <x v="3"/>
    <x v="1"/>
    <x v="10"/>
    <x v="2"/>
  </r>
  <r>
    <s v="TX501987"/>
    <x v="12"/>
    <x v="2"/>
    <n v="58.8"/>
    <n v="176.39999999999998"/>
    <x v="72"/>
    <d v="2025-03-18T00:00:00"/>
    <x v="1"/>
    <x v="0"/>
    <x v="2"/>
    <x v="0"/>
    <x v="25"/>
    <x v="5"/>
    <x v="10"/>
    <x v="1"/>
  </r>
  <r>
    <s v="TX501988"/>
    <x v="2"/>
    <x v="2"/>
    <n v="97.6"/>
    <n v="292.79999999999995"/>
    <x v="73"/>
    <d v="2025-03-17T00:00:00"/>
    <x v="0"/>
    <x v="0"/>
    <x v="0"/>
    <x v="0"/>
    <x v="6"/>
    <x v="1"/>
    <x v="10"/>
    <x v="0"/>
  </r>
  <r>
    <s v="TX501989"/>
    <x v="1"/>
    <x v="1"/>
    <n v="58.7"/>
    <n v="117.4"/>
    <x v="73"/>
    <d v="2025-03-18T00:00:00"/>
    <x v="2"/>
    <x v="0"/>
    <x v="1"/>
    <x v="0"/>
    <x v="6"/>
    <x v="2"/>
    <x v="10"/>
    <x v="2"/>
  </r>
  <r>
    <s v="TX501990"/>
    <x v="6"/>
    <x v="9"/>
    <n v="71.900000000000006"/>
    <n v="359.5"/>
    <x v="73"/>
    <d v="2025-03-16T00:00:00"/>
    <x v="0"/>
    <x v="0"/>
    <x v="1"/>
    <x v="0"/>
    <x v="6"/>
    <x v="3"/>
    <x v="10"/>
    <x v="0"/>
  </r>
  <r>
    <s v="TX501991"/>
    <x v="1"/>
    <x v="1"/>
    <n v="62.4"/>
    <n v="124.8"/>
    <x v="73"/>
    <d v="2025-03-17T00:00:00"/>
    <x v="0"/>
    <x v="0"/>
    <x v="1"/>
    <x v="0"/>
    <x v="8"/>
    <x v="1"/>
    <x v="10"/>
    <x v="0"/>
  </r>
  <r>
    <s v="TX501992"/>
    <x v="6"/>
    <x v="27"/>
    <n v="53.8"/>
    <n v="860.8"/>
    <x v="73"/>
    <d v="2025-03-16T00:00:00"/>
    <x v="2"/>
    <x v="1"/>
    <x v="0"/>
    <x v="0"/>
    <x v="8"/>
    <x v="3"/>
    <x v="10"/>
    <x v="2"/>
  </r>
  <r>
    <s v="TX501993"/>
    <x v="9"/>
    <x v="0"/>
    <n v="43.8"/>
    <n v="43.8"/>
    <x v="73"/>
    <d v="2025-03-22T00:00:00"/>
    <x v="2"/>
    <x v="0"/>
    <x v="2"/>
    <x v="0"/>
    <x v="8"/>
    <x v="6"/>
    <x v="10"/>
    <x v="2"/>
  </r>
  <r>
    <s v="TX501994"/>
    <x v="5"/>
    <x v="2"/>
    <n v="53.6"/>
    <n v="160.80000000000001"/>
    <x v="73"/>
    <d v="2025-03-16T00:00:00"/>
    <x v="1"/>
    <x v="3"/>
    <x v="0"/>
    <x v="0"/>
    <x v="8"/>
    <x v="3"/>
    <x v="10"/>
    <x v="1"/>
  </r>
  <r>
    <s v="TX501995"/>
    <x v="12"/>
    <x v="1"/>
    <n v="84.3"/>
    <n v="168.6"/>
    <x v="73"/>
    <d v="2025-03-18T00:00:00"/>
    <x v="1"/>
    <x v="4"/>
    <x v="1"/>
    <x v="0"/>
    <x v="8"/>
    <x v="2"/>
    <x v="10"/>
    <x v="1"/>
  </r>
  <r>
    <s v="TX501996"/>
    <x v="6"/>
    <x v="11"/>
    <n v="117.9"/>
    <n v="1061.1000000000001"/>
    <x v="73"/>
    <d v="2025-03-16T00:00:00"/>
    <x v="2"/>
    <x v="1"/>
    <x v="2"/>
    <x v="0"/>
    <x v="8"/>
    <x v="3"/>
    <x v="10"/>
    <x v="2"/>
  </r>
  <r>
    <s v="TX501997"/>
    <x v="4"/>
    <x v="8"/>
    <n v="30"/>
    <n v="240"/>
    <x v="73"/>
    <d v="2025-03-16T00:00:00"/>
    <x v="2"/>
    <x v="1"/>
    <x v="0"/>
    <x v="0"/>
    <x v="26"/>
    <x v="3"/>
    <x v="10"/>
    <x v="2"/>
  </r>
  <r>
    <s v="TX501998"/>
    <x v="14"/>
    <x v="2"/>
    <n v="37.299999999999997"/>
    <n v="111.89999999999999"/>
    <x v="73"/>
    <d v="2025-03-16T00:00:00"/>
    <x v="1"/>
    <x v="2"/>
    <x v="0"/>
    <x v="0"/>
    <x v="9"/>
    <x v="3"/>
    <x v="10"/>
    <x v="1"/>
  </r>
  <r>
    <s v="TX501999"/>
    <x v="4"/>
    <x v="11"/>
    <n v="25.1"/>
    <n v="225.9"/>
    <x v="73"/>
    <d v="2025-03-17T00:00:00"/>
    <x v="1"/>
    <x v="1"/>
    <x v="2"/>
    <x v="0"/>
    <x v="11"/>
    <x v="1"/>
    <x v="10"/>
    <x v="1"/>
  </r>
  <r>
    <s v="TX502000"/>
    <x v="8"/>
    <x v="5"/>
    <n v="36"/>
    <n v="396"/>
    <x v="73"/>
    <d v="2025-03-25T00:00:00"/>
    <x v="1"/>
    <x v="1"/>
    <x v="0"/>
    <x v="0"/>
    <x v="18"/>
    <x v="14"/>
    <x v="10"/>
    <x v="1"/>
  </r>
  <r>
    <s v="TX502001"/>
    <x v="16"/>
    <x v="2"/>
    <n v="48.5"/>
    <n v="145.5"/>
    <x v="73"/>
    <d v="2025-03-19T00:00:00"/>
    <x v="2"/>
    <x v="1"/>
    <x v="0"/>
    <x v="0"/>
    <x v="19"/>
    <x v="5"/>
    <x v="10"/>
    <x v="2"/>
  </r>
  <r>
    <s v="TX502002"/>
    <x v="17"/>
    <x v="13"/>
    <n v="21.1"/>
    <n v="126.60000000000001"/>
    <x v="73"/>
    <d v="2025-03-16T00:00:00"/>
    <x v="1"/>
    <x v="1"/>
    <x v="2"/>
    <x v="0"/>
    <x v="21"/>
    <x v="3"/>
    <x v="10"/>
    <x v="1"/>
  </r>
  <r>
    <s v="TX502003"/>
    <x v="15"/>
    <x v="21"/>
    <n v="43.2"/>
    <n v="604.80000000000007"/>
    <x v="73"/>
    <d v="2025-03-16T00:00:00"/>
    <x v="3"/>
    <x v="0"/>
    <x v="1"/>
    <x v="0"/>
    <x v="21"/>
    <x v="3"/>
    <x v="10"/>
    <x v="3"/>
  </r>
  <r>
    <s v="TX502004"/>
    <x v="9"/>
    <x v="1"/>
    <n v="21.1"/>
    <n v="42.2"/>
    <x v="73"/>
    <d v="2025-03-16T00:00:00"/>
    <x v="0"/>
    <x v="3"/>
    <x v="1"/>
    <x v="0"/>
    <x v="21"/>
    <x v="3"/>
    <x v="10"/>
    <x v="0"/>
  </r>
  <r>
    <s v="TX502005"/>
    <x v="6"/>
    <x v="12"/>
    <n v="41.3"/>
    <n v="165.2"/>
    <x v="73"/>
    <d v="2025-03-17T00:00:00"/>
    <x v="2"/>
    <x v="3"/>
    <x v="2"/>
    <x v="0"/>
    <x v="1"/>
    <x v="1"/>
    <x v="10"/>
    <x v="2"/>
  </r>
  <r>
    <s v="TX502006"/>
    <x v="8"/>
    <x v="1"/>
    <n v="15.3"/>
    <n v="30.6"/>
    <x v="73"/>
    <d v="2025-03-18T00:00:00"/>
    <x v="0"/>
    <x v="2"/>
    <x v="2"/>
    <x v="0"/>
    <x v="1"/>
    <x v="2"/>
    <x v="10"/>
    <x v="0"/>
  </r>
  <r>
    <s v="TX502007"/>
    <x v="1"/>
    <x v="0"/>
    <n v="54.6"/>
    <n v="54.6"/>
    <x v="73"/>
    <d v="2025-03-17T00:00:00"/>
    <x v="1"/>
    <x v="1"/>
    <x v="1"/>
    <x v="0"/>
    <x v="2"/>
    <x v="1"/>
    <x v="10"/>
    <x v="1"/>
  </r>
  <r>
    <s v="TX502008"/>
    <x v="8"/>
    <x v="0"/>
    <n v="15.9"/>
    <n v="15.9"/>
    <x v="73"/>
    <d v="2025-03-16T00:00:00"/>
    <x v="1"/>
    <x v="0"/>
    <x v="1"/>
    <x v="0"/>
    <x v="22"/>
    <x v="3"/>
    <x v="10"/>
    <x v="1"/>
  </r>
  <r>
    <s v="TX502009"/>
    <x v="9"/>
    <x v="0"/>
    <n v="50.2"/>
    <n v="50.2"/>
    <x v="73"/>
    <d v="2025-03-17T00:00:00"/>
    <x v="2"/>
    <x v="3"/>
    <x v="2"/>
    <x v="0"/>
    <x v="34"/>
    <x v="1"/>
    <x v="10"/>
    <x v="2"/>
  </r>
  <r>
    <s v="TX502010"/>
    <x v="11"/>
    <x v="12"/>
    <n v="85.1"/>
    <n v="340.4"/>
    <x v="73"/>
    <d v="2025-03-16T00:00:00"/>
    <x v="2"/>
    <x v="3"/>
    <x v="4"/>
    <x v="0"/>
    <x v="34"/>
    <x v="3"/>
    <x v="10"/>
    <x v="2"/>
  </r>
  <r>
    <s v="TX502011"/>
    <x v="11"/>
    <x v="1"/>
    <n v="41.4"/>
    <n v="82.8"/>
    <x v="73"/>
    <d v="2025-03-16T00:00:00"/>
    <x v="2"/>
    <x v="0"/>
    <x v="2"/>
    <x v="0"/>
    <x v="3"/>
    <x v="3"/>
    <x v="10"/>
    <x v="2"/>
  </r>
  <r>
    <s v="TX502012"/>
    <x v="4"/>
    <x v="3"/>
    <n v="32.700000000000003"/>
    <n v="228.90000000000003"/>
    <x v="73"/>
    <d v="2025-03-16T00:00:00"/>
    <x v="2"/>
    <x v="2"/>
    <x v="1"/>
    <x v="0"/>
    <x v="3"/>
    <x v="3"/>
    <x v="10"/>
    <x v="2"/>
  </r>
  <r>
    <s v="TX502013"/>
    <x v="4"/>
    <x v="1"/>
    <n v="41.6"/>
    <n v="83.2"/>
    <x v="73"/>
    <d v="2025-03-17T00:00:00"/>
    <x v="1"/>
    <x v="4"/>
    <x v="1"/>
    <x v="0"/>
    <x v="3"/>
    <x v="1"/>
    <x v="10"/>
    <x v="1"/>
  </r>
  <r>
    <s v="TX502014"/>
    <x v="5"/>
    <x v="12"/>
    <n v="64.8"/>
    <n v="259.2"/>
    <x v="73"/>
    <d v="2025-03-16T00:00:00"/>
    <x v="0"/>
    <x v="2"/>
    <x v="0"/>
    <x v="0"/>
    <x v="3"/>
    <x v="3"/>
    <x v="10"/>
    <x v="0"/>
  </r>
  <r>
    <s v="TX502015"/>
    <x v="15"/>
    <x v="1"/>
    <n v="33.6"/>
    <n v="67.2"/>
    <x v="73"/>
    <d v="2025-03-16T00:00:00"/>
    <x v="1"/>
    <x v="0"/>
    <x v="2"/>
    <x v="0"/>
    <x v="3"/>
    <x v="3"/>
    <x v="10"/>
    <x v="1"/>
  </r>
  <r>
    <s v="TX502016"/>
    <x v="6"/>
    <x v="2"/>
    <n v="100.7"/>
    <n v="302.10000000000002"/>
    <x v="73"/>
    <d v="2025-03-16T00:00:00"/>
    <x v="0"/>
    <x v="1"/>
    <x v="0"/>
    <x v="0"/>
    <x v="3"/>
    <x v="3"/>
    <x v="10"/>
    <x v="0"/>
  </r>
  <r>
    <s v="TX502017"/>
    <x v="4"/>
    <x v="1"/>
    <n v="49.3"/>
    <n v="98.6"/>
    <x v="74"/>
    <d v="2025-03-18T00:00:00"/>
    <x v="2"/>
    <x v="4"/>
    <x v="2"/>
    <x v="0"/>
    <x v="3"/>
    <x v="1"/>
    <x v="11"/>
    <x v="2"/>
  </r>
  <r>
    <s v="TX502018"/>
    <x v="2"/>
    <x v="13"/>
    <n v="97"/>
    <n v="582"/>
    <x v="74"/>
    <d v="2025-03-19T00:00:00"/>
    <x v="1"/>
    <x v="2"/>
    <x v="2"/>
    <x v="0"/>
    <x v="3"/>
    <x v="2"/>
    <x v="11"/>
    <x v="1"/>
  </r>
  <r>
    <s v="TX502019"/>
    <x v="0"/>
    <x v="13"/>
    <n v="25.2"/>
    <n v="151.19999999999999"/>
    <x v="74"/>
    <d v="2025-03-19T00:00:00"/>
    <x v="2"/>
    <x v="4"/>
    <x v="2"/>
    <x v="0"/>
    <x v="3"/>
    <x v="2"/>
    <x v="11"/>
    <x v="2"/>
  </r>
  <r>
    <s v="TX502020"/>
    <x v="0"/>
    <x v="5"/>
    <n v="12.2"/>
    <n v="134.19999999999999"/>
    <x v="74"/>
    <d v="2025-03-17T00:00:00"/>
    <x v="0"/>
    <x v="0"/>
    <x v="1"/>
    <x v="0"/>
    <x v="3"/>
    <x v="3"/>
    <x v="11"/>
    <x v="0"/>
  </r>
  <r>
    <s v="TX502021"/>
    <x v="8"/>
    <x v="3"/>
    <n v="38.799999999999997"/>
    <n v="271.59999999999997"/>
    <x v="74"/>
    <d v="2025-03-18T00:00:00"/>
    <x v="2"/>
    <x v="1"/>
    <x v="1"/>
    <x v="0"/>
    <x v="23"/>
    <x v="1"/>
    <x v="11"/>
    <x v="2"/>
  </r>
  <r>
    <s v="TX502022"/>
    <x v="2"/>
    <x v="12"/>
    <n v="53.2"/>
    <n v="212.8"/>
    <x v="74"/>
    <d v="2025-03-17T00:00:00"/>
    <x v="1"/>
    <x v="0"/>
    <x v="2"/>
    <x v="0"/>
    <x v="8"/>
    <x v="3"/>
    <x v="11"/>
    <x v="1"/>
  </r>
  <r>
    <s v="TX502023"/>
    <x v="6"/>
    <x v="3"/>
    <n v="151"/>
    <n v="1057"/>
    <x v="74"/>
    <d v="2025-03-17T00:00:00"/>
    <x v="3"/>
    <x v="1"/>
    <x v="1"/>
    <x v="0"/>
    <x v="8"/>
    <x v="3"/>
    <x v="11"/>
    <x v="3"/>
  </r>
  <r>
    <s v="TX502024"/>
    <x v="1"/>
    <x v="1"/>
    <n v="37.1"/>
    <n v="74.2"/>
    <x v="74"/>
    <d v="2025-03-17T00:00:00"/>
    <x v="2"/>
    <x v="4"/>
    <x v="0"/>
    <x v="0"/>
    <x v="8"/>
    <x v="3"/>
    <x v="11"/>
    <x v="2"/>
  </r>
  <r>
    <s v="TX502025"/>
    <x v="5"/>
    <x v="1"/>
    <n v="38.9"/>
    <n v="77.8"/>
    <x v="74"/>
    <d v="2025-03-17T00:00:00"/>
    <x v="1"/>
    <x v="4"/>
    <x v="0"/>
    <x v="0"/>
    <x v="8"/>
    <x v="3"/>
    <x v="11"/>
    <x v="1"/>
  </r>
  <r>
    <s v="TX502026"/>
    <x v="10"/>
    <x v="1"/>
    <n v="35.200000000000003"/>
    <n v="70.400000000000006"/>
    <x v="74"/>
    <d v="2025-03-17T00:00:00"/>
    <x v="1"/>
    <x v="0"/>
    <x v="2"/>
    <x v="0"/>
    <x v="17"/>
    <x v="3"/>
    <x v="11"/>
    <x v="1"/>
  </r>
  <r>
    <s v="TX502027"/>
    <x v="0"/>
    <x v="1"/>
    <n v="22.3"/>
    <n v="44.6"/>
    <x v="74"/>
    <d v="2025-03-18T00:00:00"/>
    <x v="2"/>
    <x v="1"/>
    <x v="0"/>
    <x v="0"/>
    <x v="9"/>
    <x v="1"/>
    <x v="11"/>
    <x v="2"/>
  </r>
  <r>
    <s v="TX502028"/>
    <x v="9"/>
    <x v="0"/>
    <n v="43.3"/>
    <n v="43.3"/>
    <x v="74"/>
    <d v="2025-03-19T00:00:00"/>
    <x v="2"/>
    <x v="0"/>
    <x v="2"/>
    <x v="0"/>
    <x v="11"/>
    <x v="2"/>
    <x v="11"/>
    <x v="2"/>
  </r>
  <r>
    <s v="TX502029"/>
    <x v="6"/>
    <x v="13"/>
    <n v="75.900000000000006"/>
    <n v="455.40000000000003"/>
    <x v="74"/>
    <d v="2025-03-22T00:00:00"/>
    <x v="1"/>
    <x v="0"/>
    <x v="0"/>
    <x v="0"/>
    <x v="11"/>
    <x v="4"/>
    <x v="11"/>
    <x v="1"/>
  </r>
  <r>
    <s v="TX502030"/>
    <x v="6"/>
    <x v="2"/>
    <n v="78.7"/>
    <n v="236.10000000000002"/>
    <x v="74"/>
    <d v="2025-03-20T00:00:00"/>
    <x v="2"/>
    <x v="2"/>
    <x v="1"/>
    <x v="0"/>
    <x v="11"/>
    <x v="5"/>
    <x v="11"/>
    <x v="2"/>
  </r>
  <r>
    <s v="TX502031"/>
    <x v="1"/>
    <x v="0"/>
    <n v="66.3"/>
    <n v="66.3"/>
    <x v="74"/>
    <d v="2025-03-20T00:00:00"/>
    <x v="2"/>
    <x v="0"/>
    <x v="2"/>
    <x v="0"/>
    <x v="19"/>
    <x v="5"/>
    <x v="11"/>
    <x v="2"/>
  </r>
  <r>
    <s v="TX502032"/>
    <x v="8"/>
    <x v="1"/>
    <n v="33.6"/>
    <n v="67.2"/>
    <x v="74"/>
    <d v="2025-03-16T00:00:00"/>
    <x v="1"/>
    <x v="0"/>
    <x v="1"/>
    <x v="0"/>
    <x v="19"/>
    <x v="7"/>
    <x v="11"/>
    <x v="1"/>
  </r>
  <r>
    <s v="TX502033"/>
    <x v="2"/>
    <x v="3"/>
    <n v="61.4"/>
    <n v="429.8"/>
    <x v="74"/>
    <d v="2025-03-17T00:00:00"/>
    <x v="1"/>
    <x v="4"/>
    <x v="0"/>
    <x v="0"/>
    <x v="19"/>
    <x v="3"/>
    <x v="11"/>
    <x v="1"/>
  </r>
  <r>
    <s v="TX502034"/>
    <x v="8"/>
    <x v="1"/>
    <n v="17.5"/>
    <n v="35"/>
    <x v="74"/>
    <d v="2025-03-19T00:00:00"/>
    <x v="2"/>
    <x v="0"/>
    <x v="0"/>
    <x v="0"/>
    <x v="21"/>
    <x v="2"/>
    <x v="11"/>
    <x v="2"/>
  </r>
  <r>
    <s v="TX502035"/>
    <x v="8"/>
    <x v="1"/>
    <n v="32.5"/>
    <n v="65"/>
    <x v="74"/>
    <d v="2025-03-19T00:00:00"/>
    <x v="2"/>
    <x v="1"/>
    <x v="0"/>
    <x v="0"/>
    <x v="21"/>
    <x v="2"/>
    <x v="11"/>
    <x v="2"/>
  </r>
  <r>
    <s v="TX502036"/>
    <x v="4"/>
    <x v="0"/>
    <n v="34.6"/>
    <n v="34.6"/>
    <x v="74"/>
    <d v="2025-03-17T00:00:00"/>
    <x v="2"/>
    <x v="4"/>
    <x v="0"/>
    <x v="0"/>
    <x v="21"/>
    <x v="3"/>
    <x v="11"/>
    <x v="2"/>
  </r>
  <r>
    <s v="TX502037"/>
    <x v="2"/>
    <x v="0"/>
    <n v="75.900000000000006"/>
    <n v="75.900000000000006"/>
    <x v="74"/>
    <d v="2025-03-16T00:00:00"/>
    <x v="1"/>
    <x v="1"/>
    <x v="2"/>
    <x v="0"/>
    <x v="21"/>
    <x v="7"/>
    <x v="11"/>
    <x v="1"/>
  </r>
  <r>
    <s v="TX502038"/>
    <x v="1"/>
    <x v="2"/>
    <n v="42.1"/>
    <n v="126.30000000000001"/>
    <x v="74"/>
    <d v="2025-03-19T00:00:00"/>
    <x v="1"/>
    <x v="1"/>
    <x v="1"/>
    <x v="0"/>
    <x v="21"/>
    <x v="2"/>
    <x v="11"/>
    <x v="1"/>
  </r>
  <r>
    <s v="TX502039"/>
    <x v="7"/>
    <x v="2"/>
    <n v="65.3"/>
    <n v="195.89999999999998"/>
    <x v="74"/>
    <d v="2025-03-23T00:00:00"/>
    <x v="1"/>
    <x v="0"/>
    <x v="0"/>
    <x v="0"/>
    <x v="1"/>
    <x v="6"/>
    <x v="11"/>
    <x v="1"/>
  </r>
  <r>
    <s v="TX502040"/>
    <x v="15"/>
    <x v="0"/>
    <n v="20.6"/>
    <n v="20.6"/>
    <x v="74"/>
    <d v="2025-03-19T00:00:00"/>
    <x v="1"/>
    <x v="3"/>
    <x v="0"/>
    <x v="0"/>
    <x v="42"/>
    <x v="2"/>
    <x v="11"/>
    <x v="1"/>
  </r>
  <r>
    <s v="TX502041"/>
    <x v="8"/>
    <x v="3"/>
    <n v="16.5"/>
    <n v="115.5"/>
    <x v="74"/>
    <d v="2025-03-17T00:00:00"/>
    <x v="1"/>
    <x v="1"/>
    <x v="1"/>
    <x v="0"/>
    <x v="2"/>
    <x v="3"/>
    <x v="11"/>
    <x v="1"/>
  </r>
  <r>
    <s v="TX502042"/>
    <x v="16"/>
    <x v="7"/>
    <n v="36.200000000000003"/>
    <n v="362"/>
    <x v="74"/>
    <d v="2025-03-18T00:00:00"/>
    <x v="1"/>
    <x v="0"/>
    <x v="2"/>
    <x v="0"/>
    <x v="2"/>
    <x v="1"/>
    <x v="11"/>
    <x v="1"/>
  </r>
  <r>
    <s v="TX502043"/>
    <x v="6"/>
    <x v="0"/>
    <n v="53.2"/>
    <n v="53.2"/>
    <x v="74"/>
    <d v="2025-03-17T00:00:00"/>
    <x v="2"/>
    <x v="0"/>
    <x v="1"/>
    <x v="0"/>
    <x v="22"/>
    <x v="3"/>
    <x v="11"/>
    <x v="2"/>
  </r>
  <r>
    <s v="TX502044"/>
    <x v="2"/>
    <x v="21"/>
    <n v="176"/>
    <n v="2464"/>
    <x v="74"/>
    <d v="2025-03-17T00:00:00"/>
    <x v="2"/>
    <x v="0"/>
    <x v="1"/>
    <x v="0"/>
    <x v="3"/>
    <x v="3"/>
    <x v="11"/>
    <x v="2"/>
  </r>
  <r>
    <s v="TX502045"/>
    <x v="1"/>
    <x v="0"/>
    <n v="52.4"/>
    <n v="52.4"/>
    <x v="74"/>
    <d v="2025-03-17T00:00:00"/>
    <x v="1"/>
    <x v="1"/>
    <x v="0"/>
    <x v="0"/>
    <x v="3"/>
    <x v="3"/>
    <x v="11"/>
    <x v="1"/>
  </r>
  <r>
    <s v="TX502046"/>
    <x v="10"/>
    <x v="2"/>
    <n v="48.2"/>
    <n v="144.60000000000002"/>
    <x v="74"/>
    <d v="2025-03-17T00:00:00"/>
    <x v="2"/>
    <x v="1"/>
    <x v="2"/>
    <x v="0"/>
    <x v="3"/>
    <x v="3"/>
    <x v="11"/>
    <x v="2"/>
  </r>
  <r>
    <s v="TX502047"/>
    <x v="15"/>
    <x v="0"/>
    <n v="51.6"/>
    <n v="51.6"/>
    <x v="74"/>
    <d v="2025-03-20T00:00:00"/>
    <x v="2"/>
    <x v="2"/>
    <x v="1"/>
    <x v="0"/>
    <x v="3"/>
    <x v="5"/>
    <x v="11"/>
    <x v="2"/>
  </r>
  <r>
    <s v="TX502048"/>
    <x v="0"/>
    <x v="12"/>
    <n v="33.700000000000003"/>
    <n v="134.80000000000001"/>
    <x v="75"/>
    <d v="2025-03-18T00:00:00"/>
    <x v="1"/>
    <x v="0"/>
    <x v="0"/>
    <x v="0"/>
    <x v="3"/>
    <x v="3"/>
    <x v="11"/>
    <x v="1"/>
  </r>
  <r>
    <s v="TX502049"/>
    <x v="4"/>
    <x v="7"/>
    <n v="36.299999999999997"/>
    <n v="363"/>
    <x v="75"/>
    <d v="2025-03-19T00:00:00"/>
    <x v="2"/>
    <x v="4"/>
    <x v="1"/>
    <x v="0"/>
    <x v="3"/>
    <x v="1"/>
    <x v="11"/>
    <x v="2"/>
  </r>
  <r>
    <s v="TX502050"/>
    <x v="8"/>
    <x v="0"/>
    <n v="23.4"/>
    <n v="23.4"/>
    <x v="75"/>
    <d v="2025-03-22T00:00:00"/>
    <x v="2"/>
    <x v="1"/>
    <x v="2"/>
    <x v="0"/>
    <x v="3"/>
    <x v="0"/>
    <x v="11"/>
    <x v="2"/>
  </r>
  <r>
    <s v="TX502051"/>
    <x v="15"/>
    <x v="8"/>
    <n v="56.6"/>
    <n v="452.8"/>
    <x v="75"/>
    <d v="2025-03-19T00:00:00"/>
    <x v="2"/>
    <x v="1"/>
    <x v="0"/>
    <x v="0"/>
    <x v="3"/>
    <x v="1"/>
    <x v="11"/>
    <x v="2"/>
  </r>
  <r>
    <s v="TX502052"/>
    <x v="15"/>
    <x v="1"/>
    <n v="26.8"/>
    <n v="53.6"/>
    <x v="75"/>
    <d v="2025-03-18T00:00:00"/>
    <x v="1"/>
    <x v="0"/>
    <x v="0"/>
    <x v="0"/>
    <x v="4"/>
    <x v="3"/>
    <x v="11"/>
    <x v="1"/>
  </r>
  <r>
    <s v="TX502053"/>
    <x v="0"/>
    <x v="2"/>
    <n v="11.3"/>
    <n v="33.900000000000006"/>
    <x v="75"/>
    <d v="2025-03-19T00:00:00"/>
    <x v="1"/>
    <x v="2"/>
    <x v="0"/>
    <x v="0"/>
    <x v="25"/>
    <x v="1"/>
    <x v="11"/>
    <x v="1"/>
  </r>
  <r>
    <s v="TX502054"/>
    <x v="6"/>
    <x v="2"/>
    <n v="60.1"/>
    <n v="180.3"/>
    <x v="75"/>
    <d v="2025-03-20T00:00:00"/>
    <x v="2"/>
    <x v="0"/>
    <x v="0"/>
    <x v="0"/>
    <x v="7"/>
    <x v="2"/>
    <x v="11"/>
    <x v="2"/>
  </r>
  <r>
    <s v="TX502055"/>
    <x v="0"/>
    <x v="5"/>
    <n v="27.7"/>
    <n v="304.7"/>
    <x v="75"/>
    <d v="2025-03-22T00:00:00"/>
    <x v="2"/>
    <x v="0"/>
    <x v="0"/>
    <x v="0"/>
    <x v="8"/>
    <x v="0"/>
    <x v="11"/>
    <x v="2"/>
  </r>
  <r>
    <s v="TX502056"/>
    <x v="15"/>
    <x v="0"/>
    <n v="71.400000000000006"/>
    <n v="71.400000000000006"/>
    <x v="75"/>
    <d v="2025-03-20T00:00:00"/>
    <x v="1"/>
    <x v="0"/>
    <x v="2"/>
    <x v="0"/>
    <x v="8"/>
    <x v="2"/>
    <x v="11"/>
    <x v="1"/>
  </r>
  <r>
    <s v="TX502057"/>
    <x v="2"/>
    <x v="1"/>
    <n v="66.7"/>
    <n v="133.4"/>
    <x v="75"/>
    <d v="2025-03-18T00:00:00"/>
    <x v="2"/>
    <x v="0"/>
    <x v="2"/>
    <x v="0"/>
    <x v="8"/>
    <x v="3"/>
    <x v="11"/>
    <x v="2"/>
  </r>
  <r>
    <s v="TX502058"/>
    <x v="13"/>
    <x v="9"/>
    <n v="39.1"/>
    <n v="195.5"/>
    <x v="75"/>
    <d v="2025-03-18T00:00:00"/>
    <x v="2"/>
    <x v="0"/>
    <x v="0"/>
    <x v="0"/>
    <x v="8"/>
    <x v="3"/>
    <x v="11"/>
    <x v="2"/>
  </r>
  <r>
    <s v="TX502059"/>
    <x v="8"/>
    <x v="12"/>
    <n v="24.9"/>
    <n v="99.6"/>
    <x v="75"/>
    <d v="2025-03-22T00:00:00"/>
    <x v="1"/>
    <x v="1"/>
    <x v="2"/>
    <x v="0"/>
    <x v="8"/>
    <x v="0"/>
    <x v="11"/>
    <x v="1"/>
  </r>
  <r>
    <s v="TX502060"/>
    <x v="5"/>
    <x v="9"/>
    <n v="29.2"/>
    <n v="146"/>
    <x v="75"/>
    <d v="2025-03-18T00:00:00"/>
    <x v="1"/>
    <x v="0"/>
    <x v="2"/>
    <x v="0"/>
    <x v="17"/>
    <x v="3"/>
    <x v="11"/>
    <x v="1"/>
  </r>
  <r>
    <s v="TX502061"/>
    <x v="13"/>
    <x v="21"/>
    <n v="28.3"/>
    <n v="396.2"/>
    <x v="75"/>
    <d v="2025-03-19T00:00:00"/>
    <x v="2"/>
    <x v="1"/>
    <x v="0"/>
    <x v="0"/>
    <x v="11"/>
    <x v="1"/>
    <x v="11"/>
    <x v="2"/>
  </r>
  <r>
    <s v="TX502062"/>
    <x v="9"/>
    <x v="2"/>
    <n v="37.799999999999997"/>
    <n v="113.39999999999999"/>
    <x v="75"/>
    <d v="2025-03-18T00:00:00"/>
    <x v="2"/>
    <x v="0"/>
    <x v="1"/>
    <x v="0"/>
    <x v="11"/>
    <x v="3"/>
    <x v="11"/>
    <x v="2"/>
  </r>
  <r>
    <s v="TX502063"/>
    <x v="14"/>
    <x v="3"/>
    <n v="28.1"/>
    <n v="196.70000000000002"/>
    <x v="75"/>
    <d v="2025-03-23T00:00:00"/>
    <x v="2"/>
    <x v="2"/>
    <x v="0"/>
    <x v="0"/>
    <x v="11"/>
    <x v="4"/>
    <x v="11"/>
    <x v="2"/>
  </r>
  <r>
    <s v="TX502064"/>
    <x v="1"/>
    <x v="2"/>
    <n v="59.7"/>
    <n v="179.10000000000002"/>
    <x v="75"/>
    <d v="2025-03-19T00:00:00"/>
    <x v="2"/>
    <x v="2"/>
    <x v="0"/>
    <x v="0"/>
    <x v="11"/>
    <x v="1"/>
    <x v="11"/>
    <x v="2"/>
  </r>
  <r>
    <s v="TX502065"/>
    <x v="16"/>
    <x v="0"/>
    <n v="71.900000000000006"/>
    <n v="71.900000000000006"/>
    <x v="75"/>
    <d v="2025-03-18T00:00:00"/>
    <x v="1"/>
    <x v="1"/>
    <x v="1"/>
    <x v="0"/>
    <x v="11"/>
    <x v="3"/>
    <x v="11"/>
    <x v="1"/>
  </r>
  <r>
    <s v="TX502066"/>
    <x v="1"/>
    <x v="1"/>
    <n v="56.9"/>
    <n v="113.8"/>
    <x v="75"/>
    <d v="2025-03-18T00:00:00"/>
    <x v="1"/>
    <x v="2"/>
    <x v="0"/>
    <x v="0"/>
    <x v="13"/>
    <x v="3"/>
    <x v="11"/>
    <x v="1"/>
  </r>
  <r>
    <s v="TX502067"/>
    <x v="8"/>
    <x v="1"/>
    <n v="15.8"/>
    <n v="31.6"/>
    <x v="75"/>
    <d v="2025-03-20T00:00:00"/>
    <x v="2"/>
    <x v="2"/>
    <x v="1"/>
    <x v="0"/>
    <x v="1"/>
    <x v="2"/>
    <x v="11"/>
    <x v="2"/>
  </r>
  <r>
    <s v="TX502068"/>
    <x v="11"/>
    <x v="12"/>
    <n v="61.7"/>
    <n v="246.8"/>
    <x v="75"/>
    <d v="2025-03-19T00:00:00"/>
    <x v="2"/>
    <x v="2"/>
    <x v="0"/>
    <x v="0"/>
    <x v="22"/>
    <x v="1"/>
    <x v="11"/>
    <x v="2"/>
  </r>
  <r>
    <s v="TX502069"/>
    <x v="2"/>
    <x v="7"/>
    <n v="105.2"/>
    <n v="1052"/>
    <x v="75"/>
    <d v="2025-03-19T00:00:00"/>
    <x v="1"/>
    <x v="1"/>
    <x v="4"/>
    <x v="0"/>
    <x v="3"/>
    <x v="1"/>
    <x v="11"/>
    <x v="1"/>
  </r>
  <r>
    <s v="TX502070"/>
    <x v="0"/>
    <x v="1"/>
    <n v="17"/>
    <n v="34"/>
    <x v="75"/>
    <d v="2025-03-19T00:00:00"/>
    <x v="2"/>
    <x v="2"/>
    <x v="0"/>
    <x v="0"/>
    <x v="3"/>
    <x v="1"/>
    <x v="11"/>
    <x v="2"/>
  </r>
  <r>
    <s v="TX502071"/>
    <x v="6"/>
    <x v="2"/>
    <n v="84.1"/>
    <n v="252.29999999999998"/>
    <x v="75"/>
    <d v="2025-03-18T00:00:00"/>
    <x v="1"/>
    <x v="2"/>
    <x v="0"/>
    <x v="0"/>
    <x v="3"/>
    <x v="3"/>
    <x v="11"/>
    <x v="1"/>
  </r>
  <r>
    <s v="TX502072"/>
    <x v="3"/>
    <x v="12"/>
    <n v="59.5"/>
    <n v="238"/>
    <x v="75"/>
    <d v="2025-03-22T00:00:00"/>
    <x v="1"/>
    <x v="0"/>
    <x v="2"/>
    <x v="0"/>
    <x v="3"/>
    <x v="0"/>
    <x v="11"/>
    <x v="1"/>
  </r>
  <r>
    <s v="TX502073"/>
    <x v="8"/>
    <x v="1"/>
    <n v="57.5"/>
    <n v="115"/>
    <x v="75"/>
    <d v="2025-03-19T00:00:00"/>
    <x v="1"/>
    <x v="1"/>
    <x v="2"/>
    <x v="0"/>
    <x v="3"/>
    <x v="1"/>
    <x v="11"/>
    <x v="1"/>
  </r>
  <r>
    <s v="TX502074"/>
    <x v="8"/>
    <x v="0"/>
    <n v="34.299999999999997"/>
    <n v="34.299999999999997"/>
    <x v="75"/>
    <d v="2025-03-18T00:00:00"/>
    <x v="2"/>
    <x v="4"/>
    <x v="2"/>
    <x v="0"/>
    <x v="3"/>
    <x v="3"/>
    <x v="11"/>
    <x v="2"/>
  </r>
  <r>
    <s v="TX502075"/>
    <x v="5"/>
    <x v="1"/>
    <n v="27.8"/>
    <n v="55.6"/>
    <x v="76"/>
    <d v="2025-03-20T00:00:00"/>
    <x v="2"/>
    <x v="0"/>
    <x v="0"/>
    <x v="0"/>
    <x v="3"/>
    <x v="1"/>
    <x v="11"/>
    <x v="2"/>
  </r>
  <r>
    <s v="TX502076"/>
    <x v="12"/>
    <x v="1"/>
    <n v="85"/>
    <n v="170"/>
    <x v="76"/>
    <d v="2025-03-18T00:00:00"/>
    <x v="1"/>
    <x v="2"/>
    <x v="2"/>
    <x v="0"/>
    <x v="3"/>
    <x v="7"/>
    <x v="11"/>
    <x v="1"/>
  </r>
  <r>
    <s v="TX502077"/>
    <x v="6"/>
    <x v="1"/>
    <n v="95"/>
    <n v="190"/>
    <x v="76"/>
    <d v="2025-03-20T00:00:00"/>
    <x v="2"/>
    <x v="0"/>
    <x v="0"/>
    <x v="0"/>
    <x v="3"/>
    <x v="1"/>
    <x v="11"/>
    <x v="2"/>
  </r>
  <r>
    <s v="TX502078"/>
    <x v="16"/>
    <x v="1"/>
    <n v="32"/>
    <n v="64"/>
    <x v="76"/>
    <d v="2025-03-20T00:00:00"/>
    <x v="1"/>
    <x v="0"/>
    <x v="1"/>
    <x v="0"/>
    <x v="3"/>
    <x v="1"/>
    <x v="11"/>
    <x v="1"/>
  </r>
  <r>
    <s v="TX502079"/>
    <x v="2"/>
    <x v="1"/>
    <n v="65.2"/>
    <n v="130.4"/>
    <x v="76"/>
    <d v="2025-03-19T00:00:00"/>
    <x v="2"/>
    <x v="1"/>
    <x v="0"/>
    <x v="0"/>
    <x v="3"/>
    <x v="3"/>
    <x v="11"/>
    <x v="2"/>
  </r>
  <r>
    <s v="TX502080"/>
    <x v="17"/>
    <x v="12"/>
    <n v="22"/>
    <n v="88"/>
    <x v="76"/>
    <d v="2025-03-19T00:00:00"/>
    <x v="1"/>
    <x v="1"/>
    <x v="2"/>
    <x v="0"/>
    <x v="3"/>
    <x v="3"/>
    <x v="11"/>
    <x v="1"/>
  </r>
  <r>
    <s v="TX502081"/>
    <x v="15"/>
    <x v="2"/>
    <n v="69.400000000000006"/>
    <n v="208.20000000000002"/>
    <x v="76"/>
    <d v="2025-03-21T00:00:00"/>
    <x v="1"/>
    <x v="1"/>
    <x v="2"/>
    <x v="0"/>
    <x v="3"/>
    <x v="2"/>
    <x v="11"/>
    <x v="1"/>
  </r>
  <r>
    <s v="TX502082"/>
    <x v="10"/>
    <x v="13"/>
    <n v="31.5"/>
    <n v="189"/>
    <x v="76"/>
    <d v="2025-03-20T00:00:00"/>
    <x v="2"/>
    <x v="0"/>
    <x v="2"/>
    <x v="0"/>
    <x v="3"/>
    <x v="1"/>
    <x v="11"/>
    <x v="2"/>
  </r>
  <r>
    <s v="TX502083"/>
    <x v="6"/>
    <x v="0"/>
    <n v="45.8"/>
    <n v="45.8"/>
    <x v="76"/>
    <d v="2025-03-22T00:00:00"/>
    <x v="3"/>
    <x v="0"/>
    <x v="0"/>
    <x v="0"/>
    <x v="3"/>
    <x v="5"/>
    <x v="11"/>
    <x v="3"/>
  </r>
  <r>
    <s v="TX502084"/>
    <x v="19"/>
    <x v="12"/>
    <n v="12.8"/>
    <n v="51.2"/>
    <x v="76"/>
    <d v="2025-03-25T00:00:00"/>
    <x v="2"/>
    <x v="1"/>
    <x v="1"/>
    <x v="0"/>
    <x v="5"/>
    <x v="6"/>
    <x v="11"/>
    <x v="2"/>
  </r>
  <r>
    <s v="TX502085"/>
    <x v="5"/>
    <x v="2"/>
    <n v="115.3"/>
    <n v="345.9"/>
    <x v="76"/>
    <d v="2025-03-19T00:00:00"/>
    <x v="2"/>
    <x v="2"/>
    <x v="2"/>
    <x v="0"/>
    <x v="6"/>
    <x v="3"/>
    <x v="11"/>
    <x v="2"/>
  </r>
  <r>
    <s v="TX502086"/>
    <x v="5"/>
    <x v="1"/>
    <n v="85"/>
    <n v="170"/>
    <x v="76"/>
    <d v="2025-03-20T00:00:00"/>
    <x v="2"/>
    <x v="1"/>
    <x v="0"/>
    <x v="0"/>
    <x v="7"/>
    <x v="1"/>
    <x v="11"/>
    <x v="2"/>
  </r>
  <r>
    <s v="TX502087"/>
    <x v="8"/>
    <x v="2"/>
    <n v="56.6"/>
    <n v="169.8"/>
    <x v="76"/>
    <d v="2025-03-19T00:00:00"/>
    <x v="2"/>
    <x v="1"/>
    <x v="2"/>
    <x v="0"/>
    <x v="7"/>
    <x v="3"/>
    <x v="11"/>
    <x v="2"/>
  </r>
  <r>
    <s v="TX502088"/>
    <x v="15"/>
    <x v="6"/>
    <n v="46.3"/>
    <n v="1250.0999999999999"/>
    <x v="76"/>
    <d v="2025-03-21T00:00:00"/>
    <x v="1"/>
    <x v="0"/>
    <x v="0"/>
    <x v="0"/>
    <x v="7"/>
    <x v="2"/>
    <x v="11"/>
    <x v="1"/>
  </r>
  <r>
    <s v="TX502089"/>
    <x v="14"/>
    <x v="12"/>
    <n v="23"/>
    <n v="92"/>
    <x v="76"/>
    <d v="2025-03-22T00:00:00"/>
    <x v="1"/>
    <x v="3"/>
    <x v="2"/>
    <x v="0"/>
    <x v="7"/>
    <x v="5"/>
    <x v="11"/>
    <x v="1"/>
  </r>
  <r>
    <s v="TX502090"/>
    <x v="8"/>
    <x v="13"/>
    <n v="42.1"/>
    <n v="252.60000000000002"/>
    <x v="76"/>
    <d v="2025-03-20T00:00:00"/>
    <x v="1"/>
    <x v="4"/>
    <x v="0"/>
    <x v="0"/>
    <x v="8"/>
    <x v="1"/>
    <x v="11"/>
    <x v="1"/>
  </r>
  <r>
    <s v="TX502091"/>
    <x v="5"/>
    <x v="3"/>
    <n v="57.4"/>
    <n v="401.8"/>
    <x v="76"/>
    <d v="2025-03-22T00:00:00"/>
    <x v="2"/>
    <x v="1"/>
    <x v="4"/>
    <x v="0"/>
    <x v="8"/>
    <x v="5"/>
    <x v="11"/>
    <x v="2"/>
  </r>
  <r>
    <s v="TX502092"/>
    <x v="0"/>
    <x v="13"/>
    <n v="13.2"/>
    <n v="79.199999999999989"/>
    <x v="76"/>
    <d v="2025-03-22T00:00:00"/>
    <x v="1"/>
    <x v="2"/>
    <x v="0"/>
    <x v="0"/>
    <x v="8"/>
    <x v="5"/>
    <x v="11"/>
    <x v="1"/>
  </r>
  <r>
    <s v="TX502093"/>
    <x v="6"/>
    <x v="2"/>
    <n v="52.3"/>
    <n v="156.89999999999998"/>
    <x v="76"/>
    <d v="2025-03-19T00:00:00"/>
    <x v="1"/>
    <x v="1"/>
    <x v="0"/>
    <x v="0"/>
    <x v="8"/>
    <x v="3"/>
    <x v="11"/>
    <x v="1"/>
  </r>
  <r>
    <s v="TX502094"/>
    <x v="8"/>
    <x v="1"/>
    <n v="15.7"/>
    <n v="31.4"/>
    <x v="76"/>
    <d v="2025-03-21T00:00:00"/>
    <x v="1"/>
    <x v="1"/>
    <x v="2"/>
    <x v="0"/>
    <x v="8"/>
    <x v="2"/>
    <x v="11"/>
    <x v="1"/>
  </r>
  <r>
    <s v="TX502095"/>
    <x v="7"/>
    <x v="2"/>
    <n v="35"/>
    <n v="105"/>
    <x v="76"/>
    <d v="2025-03-21T00:00:00"/>
    <x v="2"/>
    <x v="1"/>
    <x v="2"/>
    <x v="0"/>
    <x v="9"/>
    <x v="2"/>
    <x v="11"/>
    <x v="2"/>
  </r>
  <r>
    <s v="TX502096"/>
    <x v="4"/>
    <x v="2"/>
    <n v="26.6"/>
    <n v="79.800000000000011"/>
    <x v="76"/>
    <d v="2025-03-18T00:00:00"/>
    <x v="1"/>
    <x v="1"/>
    <x v="2"/>
    <x v="0"/>
    <x v="11"/>
    <x v="7"/>
    <x v="11"/>
    <x v="1"/>
  </r>
  <r>
    <s v="TX502097"/>
    <x v="4"/>
    <x v="8"/>
    <n v="47.9"/>
    <n v="383.2"/>
    <x v="77"/>
    <d v="2025-03-20T00:00:00"/>
    <x v="2"/>
    <x v="3"/>
    <x v="2"/>
    <x v="0"/>
    <x v="20"/>
    <x v="3"/>
    <x v="11"/>
    <x v="2"/>
  </r>
  <r>
    <s v="TX502098"/>
    <x v="5"/>
    <x v="0"/>
    <n v="80.099999999999994"/>
    <n v="80.099999999999994"/>
    <x v="77"/>
    <d v="2025-03-20T00:00:00"/>
    <x v="1"/>
    <x v="2"/>
    <x v="0"/>
    <x v="0"/>
    <x v="21"/>
    <x v="3"/>
    <x v="11"/>
    <x v="1"/>
  </r>
  <r>
    <s v="TX502099"/>
    <x v="6"/>
    <x v="9"/>
    <n v="50.4"/>
    <n v="252"/>
    <x v="77"/>
    <d v="2025-03-20T00:00:00"/>
    <x v="1"/>
    <x v="1"/>
    <x v="2"/>
    <x v="0"/>
    <x v="21"/>
    <x v="3"/>
    <x v="11"/>
    <x v="1"/>
  </r>
  <r>
    <s v="TX502100"/>
    <x v="10"/>
    <x v="3"/>
    <n v="43.3"/>
    <n v="303.09999999999997"/>
    <x v="77"/>
    <d v="2025-03-20T00:00:00"/>
    <x v="1"/>
    <x v="2"/>
    <x v="0"/>
    <x v="0"/>
    <x v="21"/>
    <x v="3"/>
    <x v="11"/>
    <x v="1"/>
  </r>
  <r>
    <s v="TX502101"/>
    <x v="10"/>
    <x v="12"/>
    <n v="57.5"/>
    <n v="230"/>
    <x v="77"/>
    <d v="2025-03-20T00:00:00"/>
    <x v="2"/>
    <x v="1"/>
    <x v="2"/>
    <x v="0"/>
    <x v="1"/>
    <x v="3"/>
    <x v="11"/>
    <x v="2"/>
  </r>
  <r>
    <s v="TX502102"/>
    <x v="9"/>
    <x v="15"/>
    <n v="24.8"/>
    <n v="322.40000000000003"/>
    <x v="77"/>
    <d v="2025-03-20T00:00:00"/>
    <x v="1"/>
    <x v="0"/>
    <x v="0"/>
    <x v="0"/>
    <x v="57"/>
    <x v="3"/>
    <x v="11"/>
    <x v="1"/>
  </r>
  <r>
    <s v="TX502103"/>
    <x v="2"/>
    <x v="11"/>
    <n v="85.7"/>
    <n v="771.30000000000007"/>
    <x v="77"/>
    <d v="2025-03-20T00:00:00"/>
    <x v="2"/>
    <x v="0"/>
    <x v="0"/>
    <x v="0"/>
    <x v="42"/>
    <x v="3"/>
    <x v="11"/>
    <x v="2"/>
  </r>
  <r>
    <s v="TX502104"/>
    <x v="7"/>
    <x v="0"/>
    <n v="47.1"/>
    <n v="47.1"/>
    <x v="77"/>
    <d v="2025-03-21T00:00:00"/>
    <x v="2"/>
    <x v="0"/>
    <x v="0"/>
    <x v="0"/>
    <x v="2"/>
    <x v="1"/>
    <x v="11"/>
    <x v="2"/>
  </r>
  <r>
    <s v="TX502105"/>
    <x v="5"/>
    <x v="7"/>
    <n v="83.2"/>
    <n v="832"/>
    <x v="77"/>
    <d v="2025-03-23T00:00:00"/>
    <x v="2"/>
    <x v="0"/>
    <x v="0"/>
    <x v="0"/>
    <x v="33"/>
    <x v="5"/>
    <x v="11"/>
    <x v="2"/>
  </r>
  <r>
    <s v="TX502106"/>
    <x v="2"/>
    <x v="2"/>
    <n v="157"/>
    <n v="471"/>
    <x v="77"/>
    <d v="2025-03-21T00:00:00"/>
    <x v="2"/>
    <x v="0"/>
    <x v="2"/>
    <x v="0"/>
    <x v="22"/>
    <x v="1"/>
    <x v="11"/>
    <x v="2"/>
  </r>
  <r>
    <s v="TX502107"/>
    <x v="16"/>
    <x v="12"/>
    <n v="33.700000000000003"/>
    <n v="134.80000000000001"/>
    <x v="77"/>
    <d v="2025-03-20T00:00:00"/>
    <x v="1"/>
    <x v="2"/>
    <x v="2"/>
    <x v="0"/>
    <x v="22"/>
    <x v="3"/>
    <x v="11"/>
    <x v="1"/>
  </r>
  <r>
    <s v="TX502108"/>
    <x v="2"/>
    <x v="2"/>
    <n v="60.8"/>
    <n v="182.39999999999998"/>
    <x v="77"/>
    <d v="2025-03-23T00:00:00"/>
    <x v="2"/>
    <x v="1"/>
    <x v="1"/>
    <x v="0"/>
    <x v="3"/>
    <x v="5"/>
    <x v="11"/>
    <x v="2"/>
  </r>
  <r>
    <s v="TX502109"/>
    <x v="7"/>
    <x v="0"/>
    <n v="57.6"/>
    <n v="57.6"/>
    <x v="77"/>
    <d v="2025-03-20T00:00:00"/>
    <x v="1"/>
    <x v="1"/>
    <x v="4"/>
    <x v="0"/>
    <x v="3"/>
    <x v="3"/>
    <x v="11"/>
    <x v="1"/>
  </r>
  <r>
    <s v="TX502110"/>
    <x v="10"/>
    <x v="0"/>
    <n v="32"/>
    <n v="32"/>
    <x v="77"/>
    <d v="2025-03-21T00:00:00"/>
    <x v="1"/>
    <x v="0"/>
    <x v="0"/>
    <x v="0"/>
    <x v="3"/>
    <x v="1"/>
    <x v="11"/>
    <x v="1"/>
  </r>
  <r>
    <s v="TX502111"/>
    <x v="10"/>
    <x v="12"/>
    <n v="23.5"/>
    <n v="94"/>
    <x v="77"/>
    <d v="2025-03-20T00:00:00"/>
    <x v="2"/>
    <x v="0"/>
    <x v="2"/>
    <x v="0"/>
    <x v="3"/>
    <x v="3"/>
    <x v="11"/>
    <x v="2"/>
  </r>
  <r>
    <s v="TX502112"/>
    <x v="12"/>
    <x v="2"/>
    <n v="44.8"/>
    <n v="134.39999999999998"/>
    <x v="77"/>
    <d v="2025-03-20T00:00:00"/>
    <x v="3"/>
    <x v="4"/>
    <x v="0"/>
    <x v="0"/>
    <x v="3"/>
    <x v="3"/>
    <x v="11"/>
    <x v="3"/>
  </r>
  <r>
    <s v="TX502113"/>
    <x v="0"/>
    <x v="8"/>
    <n v="11.7"/>
    <n v="93.6"/>
    <x v="77"/>
    <d v="2025-03-20T00:00:00"/>
    <x v="1"/>
    <x v="2"/>
    <x v="2"/>
    <x v="0"/>
    <x v="3"/>
    <x v="3"/>
    <x v="11"/>
    <x v="1"/>
  </r>
  <r>
    <s v="TX502114"/>
    <x v="7"/>
    <x v="1"/>
    <n v="38.799999999999997"/>
    <n v="77.599999999999994"/>
    <x v="77"/>
    <d v="2025-03-22T00:00:00"/>
    <x v="2"/>
    <x v="2"/>
    <x v="0"/>
    <x v="0"/>
    <x v="3"/>
    <x v="2"/>
    <x v="11"/>
    <x v="2"/>
  </r>
  <r>
    <s v="TX502115"/>
    <x v="5"/>
    <x v="21"/>
    <n v="86.9"/>
    <n v="1216.6000000000001"/>
    <x v="77"/>
    <d v="2025-03-24T00:00:00"/>
    <x v="2"/>
    <x v="1"/>
    <x v="0"/>
    <x v="0"/>
    <x v="3"/>
    <x v="0"/>
    <x v="11"/>
    <x v="2"/>
  </r>
  <r>
    <s v="TX502116"/>
    <x v="8"/>
    <x v="0"/>
    <n v="18.3"/>
    <n v="18.3"/>
    <x v="77"/>
    <d v="2025-03-20T00:00:00"/>
    <x v="2"/>
    <x v="0"/>
    <x v="0"/>
    <x v="0"/>
    <x v="3"/>
    <x v="3"/>
    <x v="11"/>
    <x v="2"/>
  </r>
  <r>
    <s v="TX502117"/>
    <x v="5"/>
    <x v="0"/>
    <n v="47.5"/>
    <n v="47.5"/>
    <x v="77"/>
    <d v="2025-03-23T00:00:00"/>
    <x v="1"/>
    <x v="4"/>
    <x v="2"/>
    <x v="0"/>
    <x v="3"/>
    <x v="5"/>
    <x v="11"/>
    <x v="1"/>
  </r>
  <r>
    <s v="TX502118"/>
    <x v="1"/>
    <x v="1"/>
    <n v="78.599999999999994"/>
    <n v="157.19999999999999"/>
    <x v="77"/>
    <d v="2025-03-20T00:00:00"/>
    <x v="1"/>
    <x v="2"/>
    <x v="2"/>
    <x v="0"/>
    <x v="3"/>
    <x v="3"/>
    <x v="11"/>
    <x v="1"/>
  </r>
  <r>
    <s v="TX502119"/>
    <x v="6"/>
    <x v="12"/>
    <n v="87.3"/>
    <n v="349.2"/>
    <x v="77"/>
    <d v="2025-03-20T00:00:00"/>
    <x v="1"/>
    <x v="0"/>
    <x v="0"/>
    <x v="0"/>
    <x v="3"/>
    <x v="3"/>
    <x v="11"/>
    <x v="1"/>
  </r>
  <r>
    <s v="TX502120"/>
    <x v="9"/>
    <x v="1"/>
    <n v="63.2"/>
    <n v="126.4"/>
    <x v="77"/>
    <d v="2025-03-19T00:00:00"/>
    <x v="1"/>
    <x v="4"/>
    <x v="1"/>
    <x v="0"/>
    <x v="3"/>
    <x v="7"/>
    <x v="11"/>
    <x v="1"/>
  </r>
  <r>
    <s v="TX502121"/>
    <x v="5"/>
    <x v="9"/>
    <n v="33.700000000000003"/>
    <n v="168.5"/>
    <x v="77"/>
    <d v="2025-03-20T00:00:00"/>
    <x v="2"/>
    <x v="0"/>
    <x v="0"/>
    <x v="0"/>
    <x v="3"/>
    <x v="3"/>
    <x v="11"/>
    <x v="2"/>
  </r>
  <r>
    <s v="TX502122"/>
    <x v="2"/>
    <x v="2"/>
    <n v="107.4"/>
    <n v="322.20000000000005"/>
    <x v="77"/>
    <d v="2025-04-01T00:00:00"/>
    <x v="2"/>
    <x v="1"/>
    <x v="2"/>
    <x v="0"/>
    <x v="3"/>
    <x v="10"/>
    <x v="11"/>
    <x v="2"/>
  </r>
  <r>
    <s v="TX502123"/>
    <x v="4"/>
    <x v="12"/>
    <n v="22.2"/>
    <n v="88.8"/>
    <x v="77"/>
    <d v="2025-03-20T00:00:00"/>
    <x v="0"/>
    <x v="1"/>
    <x v="2"/>
    <x v="0"/>
    <x v="24"/>
    <x v="3"/>
    <x v="11"/>
    <x v="0"/>
  </r>
  <r>
    <s v="TX502124"/>
    <x v="18"/>
    <x v="2"/>
    <n v="52.8"/>
    <n v="158.39999999999998"/>
    <x v="77"/>
    <d v="2025-03-20T00:00:00"/>
    <x v="1"/>
    <x v="3"/>
    <x v="2"/>
    <x v="0"/>
    <x v="24"/>
    <x v="3"/>
    <x v="11"/>
    <x v="1"/>
  </r>
  <r>
    <s v="TX502125"/>
    <x v="8"/>
    <x v="2"/>
    <n v="41.5"/>
    <n v="124.5"/>
    <x v="77"/>
    <d v="2025-03-22T00:00:00"/>
    <x v="2"/>
    <x v="0"/>
    <x v="0"/>
    <x v="0"/>
    <x v="25"/>
    <x v="2"/>
    <x v="11"/>
    <x v="2"/>
  </r>
  <r>
    <s v="TX502126"/>
    <x v="12"/>
    <x v="8"/>
    <n v="103.5"/>
    <n v="828"/>
    <x v="77"/>
    <d v="2025-03-22T00:00:00"/>
    <x v="2"/>
    <x v="0"/>
    <x v="2"/>
    <x v="0"/>
    <x v="23"/>
    <x v="2"/>
    <x v="11"/>
    <x v="2"/>
  </r>
  <r>
    <s v="TX502127"/>
    <x v="4"/>
    <x v="21"/>
    <n v="37.5"/>
    <n v="525"/>
    <x v="77"/>
    <d v="2025-03-19T00:00:00"/>
    <x v="2"/>
    <x v="1"/>
    <x v="2"/>
    <x v="0"/>
    <x v="6"/>
    <x v="7"/>
    <x v="11"/>
    <x v="2"/>
  </r>
  <r>
    <s v="TX502128"/>
    <x v="15"/>
    <x v="8"/>
    <n v="44.4"/>
    <n v="355.2"/>
    <x v="77"/>
    <d v="2025-03-25T00:00:00"/>
    <x v="2"/>
    <x v="3"/>
    <x v="2"/>
    <x v="0"/>
    <x v="7"/>
    <x v="4"/>
    <x v="11"/>
    <x v="2"/>
  </r>
  <r>
    <s v="TX502129"/>
    <x v="8"/>
    <x v="2"/>
    <n v="26.2"/>
    <n v="78.599999999999994"/>
    <x v="77"/>
    <d v="2025-03-20T00:00:00"/>
    <x v="1"/>
    <x v="0"/>
    <x v="0"/>
    <x v="0"/>
    <x v="8"/>
    <x v="3"/>
    <x v="11"/>
    <x v="1"/>
  </r>
  <r>
    <s v="TX502130"/>
    <x v="1"/>
    <x v="3"/>
    <n v="32.200000000000003"/>
    <n v="225.40000000000003"/>
    <x v="77"/>
    <d v="2025-03-20T00:00:00"/>
    <x v="2"/>
    <x v="1"/>
    <x v="2"/>
    <x v="0"/>
    <x v="8"/>
    <x v="3"/>
    <x v="11"/>
    <x v="2"/>
  </r>
  <r>
    <s v="TX502131"/>
    <x v="8"/>
    <x v="0"/>
    <n v="17.399999999999999"/>
    <n v="17.399999999999999"/>
    <x v="77"/>
    <d v="2025-03-23T00:00:00"/>
    <x v="0"/>
    <x v="2"/>
    <x v="1"/>
    <x v="0"/>
    <x v="8"/>
    <x v="5"/>
    <x v="11"/>
    <x v="0"/>
  </r>
  <r>
    <s v="TX502132"/>
    <x v="8"/>
    <x v="13"/>
    <n v="72.3"/>
    <n v="433.79999999999995"/>
    <x v="77"/>
    <d v="2025-03-22T00:00:00"/>
    <x v="2"/>
    <x v="0"/>
    <x v="0"/>
    <x v="0"/>
    <x v="8"/>
    <x v="2"/>
    <x v="11"/>
    <x v="2"/>
  </r>
  <r>
    <s v="TX502133"/>
    <x v="8"/>
    <x v="5"/>
    <n v="24.3"/>
    <n v="267.3"/>
    <x v="77"/>
    <d v="2025-03-20T00:00:00"/>
    <x v="1"/>
    <x v="0"/>
    <x v="0"/>
    <x v="0"/>
    <x v="8"/>
    <x v="3"/>
    <x v="11"/>
    <x v="1"/>
  </r>
  <r>
    <s v="TX502134"/>
    <x v="13"/>
    <x v="2"/>
    <n v="49.1"/>
    <n v="147.30000000000001"/>
    <x v="77"/>
    <d v="2025-03-25T00:00:00"/>
    <x v="1"/>
    <x v="2"/>
    <x v="4"/>
    <x v="0"/>
    <x v="8"/>
    <x v="4"/>
    <x v="11"/>
    <x v="1"/>
  </r>
  <r>
    <s v="TX502135"/>
    <x v="2"/>
    <x v="7"/>
    <n v="234.7"/>
    <n v="2347"/>
    <x v="77"/>
    <d v="2025-03-20T00:00:00"/>
    <x v="1"/>
    <x v="3"/>
    <x v="1"/>
    <x v="0"/>
    <x v="8"/>
    <x v="3"/>
    <x v="11"/>
    <x v="1"/>
  </r>
  <r>
    <s v="TX502136"/>
    <x v="3"/>
    <x v="9"/>
    <n v="76.099999999999994"/>
    <n v="380.5"/>
    <x v="77"/>
    <d v="2025-03-21T00:00:00"/>
    <x v="1"/>
    <x v="1"/>
    <x v="1"/>
    <x v="0"/>
    <x v="17"/>
    <x v="1"/>
    <x v="11"/>
    <x v="1"/>
  </r>
  <r>
    <s v="TX502137"/>
    <x v="1"/>
    <x v="2"/>
    <n v="93.9"/>
    <n v="281.70000000000005"/>
    <x v="77"/>
    <d v="2025-03-20T00:00:00"/>
    <x v="1"/>
    <x v="1"/>
    <x v="4"/>
    <x v="0"/>
    <x v="11"/>
    <x v="3"/>
    <x v="11"/>
    <x v="1"/>
  </r>
  <r>
    <s v="TX502138"/>
    <x v="2"/>
    <x v="12"/>
    <n v="187"/>
    <n v="748"/>
    <x v="78"/>
    <d v="2025-03-23T00:00:00"/>
    <x v="1"/>
    <x v="0"/>
    <x v="0"/>
    <x v="0"/>
    <x v="11"/>
    <x v="2"/>
    <x v="11"/>
    <x v="1"/>
  </r>
  <r>
    <s v="TX502139"/>
    <x v="8"/>
    <x v="1"/>
    <n v="18"/>
    <n v="36"/>
    <x v="78"/>
    <d v="2025-03-21T00:00:00"/>
    <x v="2"/>
    <x v="1"/>
    <x v="2"/>
    <x v="0"/>
    <x v="53"/>
    <x v="3"/>
    <x v="11"/>
    <x v="2"/>
  </r>
  <r>
    <s v="TX502140"/>
    <x v="4"/>
    <x v="0"/>
    <n v="24.4"/>
    <n v="24.4"/>
    <x v="78"/>
    <d v="2025-03-21T00:00:00"/>
    <x v="2"/>
    <x v="4"/>
    <x v="2"/>
    <x v="0"/>
    <x v="21"/>
    <x v="3"/>
    <x v="11"/>
    <x v="2"/>
  </r>
  <r>
    <s v="TX502141"/>
    <x v="10"/>
    <x v="1"/>
    <n v="38.799999999999997"/>
    <n v="77.599999999999994"/>
    <x v="78"/>
    <d v="2025-03-21T00:00:00"/>
    <x v="1"/>
    <x v="4"/>
    <x v="1"/>
    <x v="0"/>
    <x v="3"/>
    <x v="3"/>
    <x v="11"/>
    <x v="1"/>
  </r>
  <r>
    <s v="TX502142"/>
    <x v="3"/>
    <x v="0"/>
    <n v="59.7"/>
    <n v="59.7"/>
    <x v="78"/>
    <d v="2025-03-23T00:00:00"/>
    <x v="1"/>
    <x v="3"/>
    <x v="0"/>
    <x v="0"/>
    <x v="3"/>
    <x v="2"/>
    <x v="11"/>
    <x v="1"/>
  </r>
  <r>
    <s v="TX502143"/>
    <x v="7"/>
    <x v="0"/>
    <n v="31.2"/>
    <n v="31.2"/>
    <x v="78"/>
    <d v="2025-03-21T00:00:00"/>
    <x v="1"/>
    <x v="1"/>
    <x v="2"/>
    <x v="0"/>
    <x v="3"/>
    <x v="3"/>
    <x v="11"/>
    <x v="1"/>
  </r>
  <r>
    <s v="TX502144"/>
    <x v="0"/>
    <x v="0"/>
    <n v="16.8"/>
    <n v="16.8"/>
    <x v="78"/>
    <d v="2025-03-21T00:00:00"/>
    <x v="2"/>
    <x v="2"/>
    <x v="1"/>
    <x v="0"/>
    <x v="3"/>
    <x v="3"/>
    <x v="11"/>
    <x v="2"/>
  </r>
  <r>
    <s v="TX502145"/>
    <x v="8"/>
    <x v="0"/>
    <n v="46"/>
    <n v="46"/>
    <x v="78"/>
    <d v="2025-03-21T00:00:00"/>
    <x v="1"/>
    <x v="0"/>
    <x v="0"/>
    <x v="0"/>
    <x v="3"/>
    <x v="3"/>
    <x v="11"/>
    <x v="1"/>
  </r>
  <r>
    <s v="TX502146"/>
    <x v="9"/>
    <x v="8"/>
    <n v="42.2"/>
    <n v="337.6"/>
    <x v="78"/>
    <d v="2025-03-23T00:00:00"/>
    <x v="2"/>
    <x v="3"/>
    <x v="2"/>
    <x v="0"/>
    <x v="3"/>
    <x v="2"/>
    <x v="11"/>
    <x v="2"/>
  </r>
  <r>
    <s v="TX502147"/>
    <x v="1"/>
    <x v="2"/>
    <n v="71.5"/>
    <n v="214.5"/>
    <x v="78"/>
    <d v="2025-04-03T00:00:00"/>
    <x v="2"/>
    <x v="0"/>
    <x v="0"/>
    <x v="0"/>
    <x v="3"/>
    <x v="12"/>
    <x v="11"/>
    <x v="2"/>
  </r>
  <r>
    <s v="TX502148"/>
    <x v="1"/>
    <x v="1"/>
    <n v="76.599999999999994"/>
    <n v="153.19999999999999"/>
    <x v="78"/>
    <d v="2025-03-20T00:00:00"/>
    <x v="1"/>
    <x v="0"/>
    <x v="2"/>
    <x v="0"/>
    <x v="3"/>
    <x v="7"/>
    <x v="11"/>
    <x v="1"/>
  </r>
  <r>
    <s v="TX502149"/>
    <x v="12"/>
    <x v="1"/>
    <n v="87.3"/>
    <n v="174.6"/>
    <x v="78"/>
    <d v="2025-03-28T00:00:00"/>
    <x v="2"/>
    <x v="3"/>
    <x v="2"/>
    <x v="0"/>
    <x v="3"/>
    <x v="9"/>
    <x v="11"/>
    <x v="2"/>
  </r>
  <r>
    <s v="TX502150"/>
    <x v="1"/>
    <x v="0"/>
    <n v="63"/>
    <n v="63"/>
    <x v="78"/>
    <d v="2025-03-23T00:00:00"/>
    <x v="1"/>
    <x v="3"/>
    <x v="0"/>
    <x v="0"/>
    <x v="3"/>
    <x v="2"/>
    <x v="11"/>
    <x v="1"/>
  </r>
  <r>
    <s v="TX502151"/>
    <x v="8"/>
    <x v="1"/>
    <n v="41.7"/>
    <n v="83.4"/>
    <x v="78"/>
    <d v="2025-03-21T00:00:00"/>
    <x v="2"/>
    <x v="4"/>
    <x v="1"/>
    <x v="0"/>
    <x v="43"/>
    <x v="3"/>
    <x v="11"/>
    <x v="2"/>
  </r>
  <r>
    <s v="TX502152"/>
    <x v="6"/>
    <x v="1"/>
    <n v="76.099999999999994"/>
    <n v="152.19999999999999"/>
    <x v="78"/>
    <d v="2025-03-20T00:00:00"/>
    <x v="2"/>
    <x v="4"/>
    <x v="2"/>
    <x v="0"/>
    <x v="16"/>
    <x v="7"/>
    <x v="11"/>
    <x v="2"/>
  </r>
  <r>
    <s v="TX502153"/>
    <x v="13"/>
    <x v="1"/>
    <n v="28.5"/>
    <n v="57"/>
    <x v="78"/>
    <d v="2025-03-21T00:00:00"/>
    <x v="2"/>
    <x v="0"/>
    <x v="2"/>
    <x v="0"/>
    <x v="4"/>
    <x v="3"/>
    <x v="11"/>
    <x v="2"/>
  </r>
  <r>
    <s v="TX502154"/>
    <x v="0"/>
    <x v="12"/>
    <n v="32.1"/>
    <n v="128.4"/>
    <x v="78"/>
    <d v="2025-03-21T00:00:00"/>
    <x v="2"/>
    <x v="1"/>
    <x v="2"/>
    <x v="0"/>
    <x v="25"/>
    <x v="3"/>
    <x v="11"/>
    <x v="2"/>
  </r>
  <r>
    <s v="TX502155"/>
    <x v="4"/>
    <x v="2"/>
    <n v="39"/>
    <n v="117"/>
    <x v="78"/>
    <d v="2025-03-23T00:00:00"/>
    <x v="1"/>
    <x v="1"/>
    <x v="2"/>
    <x v="0"/>
    <x v="25"/>
    <x v="2"/>
    <x v="11"/>
    <x v="1"/>
  </r>
  <r>
    <s v="TX502156"/>
    <x v="6"/>
    <x v="0"/>
    <n v="78.5"/>
    <n v="78.5"/>
    <x v="78"/>
    <d v="2025-03-21T00:00:00"/>
    <x v="1"/>
    <x v="1"/>
    <x v="0"/>
    <x v="0"/>
    <x v="6"/>
    <x v="3"/>
    <x v="11"/>
    <x v="1"/>
  </r>
  <r>
    <s v="TX502157"/>
    <x v="4"/>
    <x v="9"/>
    <n v="49.7"/>
    <n v="248.5"/>
    <x v="78"/>
    <d v="2025-03-22T00:00:00"/>
    <x v="2"/>
    <x v="0"/>
    <x v="0"/>
    <x v="0"/>
    <x v="6"/>
    <x v="1"/>
    <x v="11"/>
    <x v="2"/>
  </r>
  <r>
    <s v="TX502158"/>
    <x v="1"/>
    <x v="12"/>
    <n v="68.400000000000006"/>
    <n v="273.60000000000002"/>
    <x v="78"/>
    <d v="2025-03-21T00:00:00"/>
    <x v="2"/>
    <x v="2"/>
    <x v="2"/>
    <x v="0"/>
    <x v="7"/>
    <x v="3"/>
    <x v="11"/>
    <x v="2"/>
  </r>
  <r>
    <s v="TX502159"/>
    <x v="3"/>
    <x v="1"/>
    <n v="72.900000000000006"/>
    <n v="145.80000000000001"/>
    <x v="78"/>
    <d v="2025-03-23T00:00:00"/>
    <x v="0"/>
    <x v="0"/>
    <x v="2"/>
    <x v="0"/>
    <x v="7"/>
    <x v="2"/>
    <x v="11"/>
    <x v="0"/>
  </r>
  <r>
    <s v="TX502160"/>
    <x v="5"/>
    <x v="15"/>
    <n v="30.3"/>
    <n v="393.90000000000003"/>
    <x v="78"/>
    <d v="2025-03-21T00:00:00"/>
    <x v="1"/>
    <x v="4"/>
    <x v="0"/>
    <x v="0"/>
    <x v="7"/>
    <x v="3"/>
    <x v="11"/>
    <x v="1"/>
  </r>
  <r>
    <s v="TX502161"/>
    <x v="6"/>
    <x v="5"/>
    <n v="57.9"/>
    <n v="636.9"/>
    <x v="78"/>
    <d v="2025-03-21T00:00:00"/>
    <x v="2"/>
    <x v="0"/>
    <x v="0"/>
    <x v="0"/>
    <x v="8"/>
    <x v="3"/>
    <x v="11"/>
    <x v="2"/>
  </r>
  <r>
    <s v="TX502162"/>
    <x v="1"/>
    <x v="0"/>
    <n v="96.7"/>
    <n v="96.7"/>
    <x v="78"/>
    <d v="2025-03-21T00:00:00"/>
    <x v="1"/>
    <x v="0"/>
    <x v="0"/>
    <x v="0"/>
    <x v="8"/>
    <x v="3"/>
    <x v="11"/>
    <x v="1"/>
  </r>
  <r>
    <s v="TX502163"/>
    <x v="8"/>
    <x v="4"/>
    <n v="27.6"/>
    <n v="331.20000000000005"/>
    <x v="78"/>
    <d v="2025-03-22T00:00:00"/>
    <x v="1"/>
    <x v="2"/>
    <x v="2"/>
    <x v="0"/>
    <x v="8"/>
    <x v="1"/>
    <x v="11"/>
    <x v="1"/>
  </r>
  <r>
    <s v="TX502164"/>
    <x v="6"/>
    <x v="12"/>
    <n v="64.7"/>
    <n v="258.8"/>
    <x v="78"/>
    <d v="2025-03-20T00:00:00"/>
    <x v="1"/>
    <x v="3"/>
    <x v="2"/>
    <x v="0"/>
    <x v="8"/>
    <x v="7"/>
    <x v="11"/>
    <x v="1"/>
  </r>
  <r>
    <s v="TX502165"/>
    <x v="10"/>
    <x v="13"/>
    <n v="30.5"/>
    <n v="183"/>
    <x v="78"/>
    <d v="2025-03-21T00:00:00"/>
    <x v="1"/>
    <x v="4"/>
    <x v="0"/>
    <x v="0"/>
    <x v="8"/>
    <x v="3"/>
    <x v="11"/>
    <x v="1"/>
  </r>
  <r>
    <s v="TX502166"/>
    <x v="6"/>
    <x v="47"/>
    <n v="106"/>
    <n v="7420"/>
    <x v="79"/>
    <d v="2025-03-23T00:00:00"/>
    <x v="1"/>
    <x v="4"/>
    <x v="2"/>
    <x v="0"/>
    <x v="8"/>
    <x v="1"/>
    <x v="11"/>
    <x v="1"/>
  </r>
  <r>
    <s v="TX502167"/>
    <x v="12"/>
    <x v="9"/>
    <n v="76.8"/>
    <n v="384"/>
    <x v="79"/>
    <d v="2025-03-27T00:00:00"/>
    <x v="0"/>
    <x v="1"/>
    <x v="1"/>
    <x v="0"/>
    <x v="18"/>
    <x v="4"/>
    <x v="11"/>
    <x v="0"/>
  </r>
  <r>
    <s v="TX502168"/>
    <x v="6"/>
    <x v="1"/>
    <n v="80.400000000000006"/>
    <n v="160.80000000000001"/>
    <x v="79"/>
    <d v="2025-03-22T00:00:00"/>
    <x v="2"/>
    <x v="2"/>
    <x v="0"/>
    <x v="0"/>
    <x v="13"/>
    <x v="3"/>
    <x v="11"/>
    <x v="2"/>
  </r>
  <r>
    <s v="TX502169"/>
    <x v="6"/>
    <x v="12"/>
    <n v="69.099999999999994"/>
    <n v="276.39999999999998"/>
    <x v="79"/>
    <d v="2025-03-22T00:00:00"/>
    <x v="1"/>
    <x v="1"/>
    <x v="2"/>
    <x v="0"/>
    <x v="21"/>
    <x v="3"/>
    <x v="11"/>
    <x v="1"/>
  </r>
  <r>
    <s v="TX502170"/>
    <x v="18"/>
    <x v="1"/>
    <n v="76.400000000000006"/>
    <n v="152.80000000000001"/>
    <x v="79"/>
    <d v="2025-03-21T00:00:00"/>
    <x v="1"/>
    <x v="3"/>
    <x v="0"/>
    <x v="0"/>
    <x v="21"/>
    <x v="7"/>
    <x v="11"/>
    <x v="1"/>
  </r>
  <r>
    <s v="TX502171"/>
    <x v="2"/>
    <x v="1"/>
    <n v="61.3"/>
    <n v="122.6"/>
    <x v="79"/>
    <d v="2025-03-22T00:00:00"/>
    <x v="2"/>
    <x v="1"/>
    <x v="1"/>
    <x v="0"/>
    <x v="21"/>
    <x v="3"/>
    <x v="11"/>
    <x v="2"/>
  </r>
  <r>
    <s v="TX502172"/>
    <x v="7"/>
    <x v="0"/>
    <n v="58"/>
    <n v="58"/>
    <x v="79"/>
    <d v="2025-03-22T00:00:00"/>
    <x v="1"/>
    <x v="3"/>
    <x v="1"/>
    <x v="0"/>
    <x v="1"/>
    <x v="3"/>
    <x v="11"/>
    <x v="1"/>
  </r>
  <r>
    <s v="TX502173"/>
    <x v="2"/>
    <x v="8"/>
    <n v="102.3"/>
    <n v="818.4"/>
    <x v="79"/>
    <d v="2025-03-23T00:00:00"/>
    <x v="1"/>
    <x v="2"/>
    <x v="0"/>
    <x v="0"/>
    <x v="42"/>
    <x v="1"/>
    <x v="11"/>
    <x v="1"/>
  </r>
  <r>
    <s v="TX502174"/>
    <x v="19"/>
    <x v="1"/>
    <n v="13.8"/>
    <n v="27.6"/>
    <x v="79"/>
    <d v="2025-03-22T00:00:00"/>
    <x v="2"/>
    <x v="4"/>
    <x v="2"/>
    <x v="0"/>
    <x v="2"/>
    <x v="3"/>
    <x v="11"/>
    <x v="2"/>
  </r>
  <r>
    <s v="TX502175"/>
    <x v="8"/>
    <x v="2"/>
    <n v="33.299999999999997"/>
    <n v="99.899999999999991"/>
    <x v="79"/>
    <d v="2025-03-24T00:00:00"/>
    <x v="2"/>
    <x v="2"/>
    <x v="0"/>
    <x v="0"/>
    <x v="22"/>
    <x v="2"/>
    <x v="11"/>
    <x v="2"/>
  </r>
  <r>
    <s v="TX502176"/>
    <x v="10"/>
    <x v="0"/>
    <n v="27.4"/>
    <n v="27.4"/>
    <x v="79"/>
    <d v="2025-03-24T00:00:00"/>
    <x v="1"/>
    <x v="0"/>
    <x v="2"/>
    <x v="0"/>
    <x v="22"/>
    <x v="2"/>
    <x v="11"/>
    <x v="1"/>
  </r>
  <r>
    <s v="TX502177"/>
    <x v="14"/>
    <x v="1"/>
    <n v="25.6"/>
    <n v="51.2"/>
    <x v="79"/>
    <d v="2025-03-22T00:00:00"/>
    <x v="2"/>
    <x v="1"/>
    <x v="1"/>
    <x v="0"/>
    <x v="3"/>
    <x v="3"/>
    <x v="11"/>
    <x v="2"/>
  </r>
  <r>
    <s v="TX502178"/>
    <x v="13"/>
    <x v="0"/>
    <n v="58.4"/>
    <n v="58.4"/>
    <x v="79"/>
    <d v="2025-03-22T00:00:00"/>
    <x v="2"/>
    <x v="2"/>
    <x v="2"/>
    <x v="0"/>
    <x v="3"/>
    <x v="3"/>
    <x v="11"/>
    <x v="2"/>
  </r>
  <r>
    <s v="TX502179"/>
    <x v="11"/>
    <x v="17"/>
    <n v="27"/>
    <n v="810"/>
    <x v="79"/>
    <d v="2025-03-22T00:00:00"/>
    <x v="2"/>
    <x v="4"/>
    <x v="0"/>
    <x v="0"/>
    <x v="3"/>
    <x v="3"/>
    <x v="11"/>
    <x v="2"/>
  </r>
  <r>
    <s v="TX502180"/>
    <x v="0"/>
    <x v="12"/>
    <n v="14.2"/>
    <n v="56.8"/>
    <x v="79"/>
    <d v="2025-03-22T00:00:00"/>
    <x v="1"/>
    <x v="0"/>
    <x v="2"/>
    <x v="0"/>
    <x v="3"/>
    <x v="3"/>
    <x v="11"/>
    <x v="1"/>
  </r>
  <r>
    <s v="TX502181"/>
    <x v="7"/>
    <x v="1"/>
    <n v="68"/>
    <n v="136"/>
    <x v="79"/>
    <d v="2025-03-31T00:00:00"/>
    <x v="1"/>
    <x v="2"/>
    <x v="1"/>
    <x v="0"/>
    <x v="3"/>
    <x v="14"/>
    <x v="11"/>
    <x v="1"/>
  </r>
  <r>
    <s v="TX502182"/>
    <x v="8"/>
    <x v="0"/>
    <n v="30.7"/>
    <n v="30.7"/>
    <x v="79"/>
    <d v="2025-03-22T00:00:00"/>
    <x v="1"/>
    <x v="0"/>
    <x v="0"/>
    <x v="0"/>
    <x v="3"/>
    <x v="3"/>
    <x v="11"/>
    <x v="1"/>
  </r>
  <r>
    <s v="TX502183"/>
    <x v="17"/>
    <x v="15"/>
    <n v="51.6"/>
    <n v="670.80000000000007"/>
    <x v="79"/>
    <d v="2025-03-24T00:00:00"/>
    <x v="3"/>
    <x v="1"/>
    <x v="2"/>
    <x v="0"/>
    <x v="3"/>
    <x v="2"/>
    <x v="11"/>
    <x v="3"/>
  </r>
  <r>
    <s v="TX502184"/>
    <x v="8"/>
    <x v="2"/>
    <n v="20.6"/>
    <n v="61.800000000000004"/>
    <x v="79"/>
    <d v="2025-03-25T00:00:00"/>
    <x v="2"/>
    <x v="4"/>
    <x v="2"/>
    <x v="0"/>
    <x v="3"/>
    <x v="5"/>
    <x v="11"/>
    <x v="2"/>
  </r>
  <r>
    <s v="TX502185"/>
    <x v="8"/>
    <x v="0"/>
    <n v="24.8"/>
    <n v="24.8"/>
    <x v="79"/>
    <d v="2025-03-22T00:00:00"/>
    <x v="1"/>
    <x v="4"/>
    <x v="0"/>
    <x v="0"/>
    <x v="3"/>
    <x v="3"/>
    <x v="11"/>
    <x v="1"/>
  </r>
  <r>
    <s v="TX502186"/>
    <x v="0"/>
    <x v="3"/>
    <n v="11.2"/>
    <n v="78.399999999999991"/>
    <x v="79"/>
    <d v="2025-03-24T00:00:00"/>
    <x v="1"/>
    <x v="1"/>
    <x v="0"/>
    <x v="0"/>
    <x v="3"/>
    <x v="2"/>
    <x v="11"/>
    <x v="1"/>
  </r>
  <r>
    <s v="TX502187"/>
    <x v="11"/>
    <x v="1"/>
    <n v="51.2"/>
    <n v="102.4"/>
    <x v="79"/>
    <d v="2025-03-22T00:00:00"/>
    <x v="2"/>
    <x v="1"/>
    <x v="2"/>
    <x v="0"/>
    <x v="3"/>
    <x v="3"/>
    <x v="11"/>
    <x v="2"/>
  </r>
  <r>
    <s v="TX502188"/>
    <x v="7"/>
    <x v="13"/>
    <n v="90.5"/>
    <n v="543"/>
    <x v="79"/>
    <d v="2025-03-22T00:00:00"/>
    <x v="2"/>
    <x v="1"/>
    <x v="4"/>
    <x v="0"/>
    <x v="3"/>
    <x v="3"/>
    <x v="11"/>
    <x v="2"/>
  </r>
  <r>
    <s v="TX502189"/>
    <x v="1"/>
    <x v="1"/>
    <n v="42.4"/>
    <n v="84.8"/>
    <x v="79"/>
    <d v="2025-03-22T00:00:00"/>
    <x v="1"/>
    <x v="1"/>
    <x v="2"/>
    <x v="0"/>
    <x v="4"/>
    <x v="3"/>
    <x v="11"/>
    <x v="1"/>
  </r>
  <r>
    <s v="TX502190"/>
    <x v="1"/>
    <x v="1"/>
    <n v="38.200000000000003"/>
    <n v="76.400000000000006"/>
    <x v="79"/>
    <d v="2025-03-22T00:00:00"/>
    <x v="1"/>
    <x v="0"/>
    <x v="0"/>
    <x v="0"/>
    <x v="5"/>
    <x v="3"/>
    <x v="11"/>
    <x v="1"/>
  </r>
  <r>
    <s v="TX502191"/>
    <x v="2"/>
    <x v="11"/>
    <n v="121.3"/>
    <n v="1091.7"/>
    <x v="79"/>
    <d v="2025-03-26T00:00:00"/>
    <x v="1"/>
    <x v="0"/>
    <x v="0"/>
    <x v="0"/>
    <x v="6"/>
    <x v="0"/>
    <x v="11"/>
    <x v="1"/>
  </r>
  <r>
    <s v="TX502192"/>
    <x v="6"/>
    <x v="1"/>
    <n v="46.9"/>
    <n v="93.8"/>
    <x v="79"/>
    <d v="2025-03-28T00:00:00"/>
    <x v="1"/>
    <x v="0"/>
    <x v="0"/>
    <x v="0"/>
    <x v="8"/>
    <x v="6"/>
    <x v="11"/>
    <x v="1"/>
  </r>
  <r>
    <s v="TX502193"/>
    <x v="10"/>
    <x v="0"/>
    <n v="55.3"/>
    <n v="55.3"/>
    <x v="79"/>
    <d v="2025-03-23T00:00:00"/>
    <x v="1"/>
    <x v="0"/>
    <x v="0"/>
    <x v="0"/>
    <x v="8"/>
    <x v="1"/>
    <x v="11"/>
    <x v="1"/>
  </r>
  <r>
    <s v="TX502194"/>
    <x v="2"/>
    <x v="2"/>
    <n v="70.599999999999994"/>
    <n v="211.79999999999998"/>
    <x v="80"/>
    <d v="2025-03-22T00:00:00"/>
    <x v="2"/>
    <x v="0"/>
    <x v="1"/>
    <x v="0"/>
    <x v="8"/>
    <x v="7"/>
    <x v="11"/>
    <x v="2"/>
  </r>
  <r>
    <s v="TX502195"/>
    <x v="14"/>
    <x v="12"/>
    <n v="26.1"/>
    <n v="104.4"/>
    <x v="80"/>
    <d v="2025-03-24T00:00:00"/>
    <x v="1"/>
    <x v="0"/>
    <x v="0"/>
    <x v="0"/>
    <x v="8"/>
    <x v="1"/>
    <x v="11"/>
    <x v="1"/>
  </r>
  <r>
    <s v="TX502196"/>
    <x v="9"/>
    <x v="5"/>
    <n v="34.5"/>
    <n v="379.5"/>
    <x v="80"/>
    <d v="2025-03-26T00:00:00"/>
    <x v="1"/>
    <x v="2"/>
    <x v="0"/>
    <x v="0"/>
    <x v="17"/>
    <x v="5"/>
    <x v="11"/>
    <x v="1"/>
  </r>
  <r>
    <s v="TX502197"/>
    <x v="1"/>
    <x v="1"/>
    <n v="64.2"/>
    <n v="128.4"/>
    <x v="80"/>
    <d v="2025-03-23T00:00:00"/>
    <x v="2"/>
    <x v="0"/>
    <x v="1"/>
    <x v="0"/>
    <x v="17"/>
    <x v="3"/>
    <x v="11"/>
    <x v="2"/>
  </r>
  <r>
    <s v="TX502198"/>
    <x v="2"/>
    <x v="12"/>
    <n v="145.69999999999999"/>
    <n v="582.79999999999995"/>
    <x v="80"/>
    <d v="2025-03-23T00:00:00"/>
    <x v="2"/>
    <x v="0"/>
    <x v="4"/>
    <x v="0"/>
    <x v="17"/>
    <x v="3"/>
    <x v="11"/>
    <x v="2"/>
  </r>
  <r>
    <s v="TX502199"/>
    <x v="12"/>
    <x v="1"/>
    <n v="78.5"/>
    <n v="157"/>
    <x v="80"/>
    <d v="2025-03-23T00:00:00"/>
    <x v="1"/>
    <x v="2"/>
    <x v="0"/>
    <x v="0"/>
    <x v="26"/>
    <x v="3"/>
    <x v="11"/>
    <x v="1"/>
  </r>
  <r>
    <s v="TX502200"/>
    <x v="1"/>
    <x v="0"/>
    <n v="34.200000000000003"/>
    <n v="34.200000000000003"/>
    <x v="80"/>
    <d v="2025-03-24T00:00:00"/>
    <x v="1"/>
    <x v="0"/>
    <x v="0"/>
    <x v="0"/>
    <x v="9"/>
    <x v="1"/>
    <x v="11"/>
    <x v="1"/>
  </r>
  <r>
    <s v="TX502201"/>
    <x v="19"/>
    <x v="0"/>
    <n v="26.2"/>
    <n v="26.2"/>
    <x v="80"/>
    <d v="2025-03-23T00:00:00"/>
    <x v="1"/>
    <x v="2"/>
    <x v="0"/>
    <x v="0"/>
    <x v="9"/>
    <x v="3"/>
    <x v="11"/>
    <x v="1"/>
  </r>
  <r>
    <s v="TX502202"/>
    <x v="6"/>
    <x v="12"/>
    <n v="53.2"/>
    <n v="212.8"/>
    <x v="80"/>
    <d v="2025-03-23T00:00:00"/>
    <x v="1"/>
    <x v="1"/>
    <x v="1"/>
    <x v="0"/>
    <x v="11"/>
    <x v="3"/>
    <x v="11"/>
    <x v="1"/>
  </r>
  <r>
    <s v="TX502203"/>
    <x v="1"/>
    <x v="0"/>
    <n v="35.4"/>
    <n v="35.4"/>
    <x v="80"/>
    <d v="2025-03-26T00:00:00"/>
    <x v="1"/>
    <x v="1"/>
    <x v="4"/>
    <x v="0"/>
    <x v="18"/>
    <x v="5"/>
    <x v="11"/>
    <x v="1"/>
  </r>
  <r>
    <s v="TX502204"/>
    <x v="14"/>
    <x v="1"/>
    <n v="21.3"/>
    <n v="42.6"/>
    <x v="80"/>
    <d v="2025-03-23T00:00:00"/>
    <x v="1"/>
    <x v="2"/>
    <x v="0"/>
    <x v="0"/>
    <x v="20"/>
    <x v="3"/>
    <x v="11"/>
    <x v="1"/>
  </r>
  <r>
    <s v="TX502205"/>
    <x v="8"/>
    <x v="12"/>
    <n v="32.9"/>
    <n v="131.6"/>
    <x v="80"/>
    <d v="2025-03-25T00:00:00"/>
    <x v="2"/>
    <x v="4"/>
    <x v="2"/>
    <x v="0"/>
    <x v="21"/>
    <x v="2"/>
    <x v="11"/>
    <x v="2"/>
  </r>
  <r>
    <s v="TX502206"/>
    <x v="5"/>
    <x v="20"/>
    <n v="85.5"/>
    <n v="1282.5"/>
    <x v="80"/>
    <d v="2025-03-24T00:00:00"/>
    <x v="2"/>
    <x v="3"/>
    <x v="1"/>
    <x v="0"/>
    <x v="21"/>
    <x v="1"/>
    <x v="11"/>
    <x v="2"/>
  </r>
  <r>
    <s v="TX502207"/>
    <x v="4"/>
    <x v="0"/>
    <n v="26.8"/>
    <n v="26.8"/>
    <x v="80"/>
    <d v="2025-03-23T00:00:00"/>
    <x v="2"/>
    <x v="0"/>
    <x v="1"/>
    <x v="0"/>
    <x v="2"/>
    <x v="3"/>
    <x v="11"/>
    <x v="2"/>
  </r>
  <r>
    <s v="TX502208"/>
    <x v="9"/>
    <x v="18"/>
    <n v="31.7"/>
    <n v="824.19999999999993"/>
    <x v="80"/>
    <d v="2025-03-22T00:00:00"/>
    <x v="2"/>
    <x v="3"/>
    <x v="0"/>
    <x v="0"/>
    <x v="2"/>
    <x v="7"/>
    <x v="11"/>
    <x v="2"/>
  </r>
  <r>
    <s v="TX502209"/>
    <x v="1"/>
    <x v="1"/>
    <n v="78.3"/>
    <n v="156.6"/>
    <x v="80"/>
    <d v="2025-03-24T00:00:00"/>
    <x v="2"/>
    <x v="1"/>
    <x v="1"/>
    <x v="0"/>
    <x v="3"/>
    <x v="1"/>
    <x v="11"/>
    <x v="2"/>
  </r>
  <r>
    <s v="TX502210"/>
    <x v="6"/>
    <x v="0"/>
    <n v="43.9"/>
    <n v="43.9"/>
    <x v="80"/>
    <d v="2025-03-23T00:00:00"/>
    <x v="1"/>
    <x v="0"/>
    <x v="0"/>
    <x v="0"/>
    <x v="3"/>
    <x v="3"/>
    <x v="11"/>
    <x v="1"/>
  </r>
  <r>
    <s v="TX502211"/>
    <x v="18"/>
    <x v="2"/>
    <n v="84"/>
    <n v="252"/>
    <x v="80"/>
    <d v="2025-03-24T00:00:00"/>
    <x v="0"/>
    <x v="3"/>
    <x v="2"/>
    <x v="0"/>
    <x v="3"/>
    <x v="1"/>
    <x v="11"/>
    <x v="0"/>
  </r>
  <r>
    <s v="TX502212"/>
    <x v="0"/>
    <x v="2"/>
    <n v="11.4"/>
    <n v="34.200000000000003"/>
    <x v="80"/>
    <d v="2025-03-23T00:00:00"/>
    <x v="1"/>
    <x v="4"/>
    <x v="0"/>
    <x v="0"/>
    <x v="3"/>
    <x v="3"/>
    <x v="11"/>
    <x v="1"/>
  </r>
  <r>
    <s v="TX502213"/>
    <x v="12"/>
    <x v="8"/>
    <n v="47.5"/>
    <n v="380"/>
    <x v="80"/>
    <d v="2025-03-30T00:00:00"/>
    <x v="2"/>
    <x v="0"/>
    <x v="0"/>
    <x v="0"/>
    <x v="3"/>
    <x v="9"/>
    <x v="11"/>
    <x v="2"/>
  </r>
  <r>
    <s v="TX502214"/>
    <x v="9"/>
    <x v="5"/>
    <n v="50.5"/>
    <n v="555.5"/>
    <x v="80"/>
    <d v="2025-03-24T00:00:00"/>
    <x v="1"/>
    <x v="2"/>
    <x v="0"/>
    <x v="0"/>
    <x v="3"/>
    <x v="1"/>
    <x v="11"/>
    <x v="1"/>
  </r>
  <r>
    <s v="TX502215"/>
    <x v="15"/>
    <x v="0"/>
    <n v="36.299999999999997"/>
    <n v="36.299999999999997"/>
    <x v="80"/>
    <d v="2025-03-25T00:00:00"/>
    <x v="3"/>
    <x v="0"/>
    <x v="1"/>
    <x v="0"/>
    <x v="8"/>
    <x v="2"/>
    <x v="11"/>
    <x v="3"/>
  </r>
  <r>
    <s v="TX502216"/>
    <x v="8"/>
    <x v="1"/>
    <n v="35.4"/>
    <n v="70.8"/>
    <x v="80"/>
    <d v="2025-03-23T00:00:00"/>
    <x v="2"/>
    <x v="0"/>
    <x v="0"/>
    <x v="0"/>
    <x v="17"/>
    <x v="3"/>
    <x v="11"/>
    <x v="2"/>
  </r>
  <r>
    <s v="TX502217"/>
    <x v="1"/>
    <x v="2"/>
    <n v="45.9"/>
    <n v="137.69999999999999"/>
    <x v="81"/>
    <d v="2025-03-24T00:00:00"/>
    <x v="1"/>
    <x v="3"/>
    <x v="0"/>
    <x v="0"/>
    <x v="9"/>
    <x v="3"/>
    <x v="12"/>
    <x v="1"/>
  </r>
  <r>
    <s v="TX502218"/>
    <x v="6"/>
    <x v="7"/>
    <n v="41.2"/>
    <n v="412"/>
    <x v="81"/>
    <d v="2025-03-27T00:00:00"/>
    <x v="1"/>
    <x v="0"/>
    <x v="0"/>
    <x v="0"/>
    <x v="11"/>
    <x v="5"/>
    <x v="12"/>
    <x v="1"/>
  </r>
  <r>
    <s v="TX502219"/>
    <x v="17"/>
    <x v="1"/>
    <n v="45.1"/>
    <n v="90.2"/>
    <x v="81"/>
    <d v="2025-03-24T00:00:00"/>
    <x v="1"/>
    <x v="1"/>
    <x v="1"/>
    <x v="0"/>
    <x v="21"/>
    <x v="3"/>
    <x v="12"/>
    <x v="1"/>
  </r>
  <r>
    <s v="TX502220"/>
    <x v="6"/>
    <x v="7"/>
    <n v="63.6"/>
    <n v="636"/>
    <x v="81"/>
    <d v="2025-03-23T00:00:00"/>
    <x v="1"/>
    <x v="2"/>
    <x v="0"/>
    <x v="0"/>
    <x v="1"/>
    <x v="7"/>
    <x v="12"/>
    <x v="1"/>
  </r>
  <r>
    <s v="TX502221"/>
    <x v="8"/>
    <x v="0"/>
    <n v="70.5"/>
    <n v="70.5"/>
    <x v="81"/>
    <d v="2025-03-24T00:00:00"/>
    <x v="1"/>
    <x v="0"/>
    <x v="0"/>
    <x v="0"/>
    <x v="3"/>
    <x v="3"/>
    <x v="12"/>
    <x v="1"/>
  </r>
  <r>
    <s v="TX502222"/>
    <x v="6"/>
    <x v="0"/>
    <n v="41.3"/>
    <n v="41.3"/>
    <x v="81"/>
    <d v="2025-03-23T00:00:00"/>
    <x v="1"/>
    <x v="4"/>
    <x v="0"/>
    <x v="0"/>
    <x v="3"/>
    <x v="7"/>
    <x v="12"/>
    <x v="1"/>
  </r>
  <r>
    <s v="TX502223"/>
    <x v="4"/>
    <x v="0"/>
    <n v="35.299999999999997"/>
    <n v="35.299999999999997"/>
    <x v="81"/>
    <d v="2025-03-26T00:00:00"/>
    <x v="2"/>
    <x v="4"/>
    <x v="2"/>
    <x v="0"/>
    <x v="3"/>
    <x v="2"/>
    <x v="12"/>
    <x v="2"/>
  </r>
  <r>
    <s v="TX502224"/>
    <x v="8"/>
    <x v="9"/>
    <n v="34.700000000000003"/>
    <n v="173.5"/>
    <x v="81"/>
    <d v="2025-03-24T00:00:00"/>
    <x v="2"/>
    <x v="0"/>
    <x v="2"/>
    <x v="0"/>
    <x v="3"/>
    <x v="3"/>
    <x v="12"/>
    <x v="2"/>
  </r>
  <r>
    <s v="TX502225"/>
    <x v="8"/>
    <x v="2"/>
    <n v="26.1"/>
    <n v="78.300000000000011"/>
    <x v="81"/>
    <d v="2025-03-24T00:00:00"/>
    <x v="2"/>
    <x v="0"/>
    <x v="0"/>
    <x v="0"/>
    <x v="3"/>
    <x v="3"/>
    <x v="12"/>
    <x v="2"/>
  </r>
  <r>
    <s v="TX502226"/>
    <x v="9"/>
    <x v="9"/>
    <n v="22.6"/>
    <n v="113"/>
    <x v="81"/>
    <d v="2025-03-23T00:00:00"/>
    <x v="2"/>
    <x v="1"/>
    <x v="2"/>
    <x v="0"/>
    <x v="3"/>
    <x v="7"/>
    <x v="12"/>
    <x v="2"/>
  </r>
  <r>
    <s v="TX502227"/>
    <x v="2"/>
    <x v="1"/>
    <n v="154.4"/>
    <n v="308.8"/>
    <x v="81"/>
    <d v="2025-03-26T00:00:00"/>
    <x v="1"/>
    <x v="1"/>
    <x v="1"/>
    <x v="0"/>
    <x v="3"/>
    <x v="2"/>
    <x v="12"/>
    <x v="1"/>
  </r>
  <r>
    <s v="TX502228"/>
    <x v="8"/>
    <x v="1"/>
    <n v="18.399999999999999"/>
    <n v="36.799999999999997"/>
    <x v="81"/>
    <d v="2025-03-24T00:00:00"/>
    <x v="1"/>
    <x v="0"/>
    <x v="0"/>
    <x v="0"/>
    <x v="3"/>
    <x v="3"/>
    <x v="12"/>
    <x v="1"/>
  </r>
  <r>
    <s v="TX502229"/>
    <x v="14"/>
    <x v="0"/>
    <n v="25"/>
    <n v="25"/>
    <x v="81"/>
    <d v="2025-03-26T00:00:00"/>
    <x v="2"/>
    <x v="0"/>
    <x v="0"/>
    <x v="0"/>
    <x v="3"/>
    <x v="2"/>
    <x v="12"/>
    <x v="2"/>
  </r>
  <r>
    <s v="TX502230"/>
    <x v="2"/>
    <x v="13"/>
    <n v="105.6"/>
    <n v="633.59999999999991"/>
    <x v="81"/>
    <d v="2025-03-23T00:00:00"/>
    <x v="2"/>
    <x v="0"/>
    <x v="0"/>
    <x v="0"/>
    <x v="3"/>
    <x v="7"/>
    <x v="12"/>
    <x v="2"/>
  </r>
  <r>
    <s v="TX502231"/>
    <x v="18"/>
    <x v="8"/>
    <n v="59.6"/>
    <n v="476.8"/>
    <x v="81"/>
    <d v="2025-03-23T00:00:00"/>
    <x v="2"/>
    <x v="0"/>
    <x v="2"/>
    <x v="0"/>
    <x v="23"/>
    <x v="7"/>
    <x v="12"/>
    <x v="2"/>
  </r>
  <r>
    <s v="TX502232"/>
    <x v="15"/>
    <x v="2"/>
    <n v="75.400000000000006"/>
    <n v="226.20000000000002"/>
    <x v="81"/>
    <d v="2025-03-28T00:00:00"/>
    <x v="1"/>
    <x v="0"/>
    <x v="1"/>
    <x v="0"/>
    <x v="7"/>
    <x v="0"/>
    <x v="12"/>
    <x v="1"/>
  </r>
  <r>
    <s v="TX502233"/>
    <x v="7"/>
    <x v="0"/>
    <n v="104.4"/>
    <n v="104.4"/>
    <x v="81"/>
    <d v="2025-03-24T00:00:00"/>
    <x v="2"/>
    <x v="0"/>
    <x v="0"/>
    <x v="0"/>
    <x v="8"/>
    <x v="3"/>
    <x v="12"/>
    <x v="2"/>
  </r>
  <r>
    <s v="TX502234"/>
    <x v="2"/>
    <x v="7"/>
    <n v="208.2"/>
    <n v="2082"/>
    <x v="81"/>
    <d v="2025-03-24T00:00:00"/>
    <x v="1"/>
    <x v="0"/>
    <x v="2"/>
    <x v="0"/>
    <x v="8"/>
    <x v="3"/>
    <x v="12"/>
    <x v="1"/>
  </r>
  <r>
    <s v="TX502235"/>
    <x v="6"/>
    <x v="1"/>
    <n v="45"/>
    <n v="90"/>
    <x v="81"/>
    <d v="2025-03-26T00:00:00"/>
    <x v="2"/>
    <x v="0"/>
    <x v="0"/>
    <x v="0"/>
    <x v="10"/>
    <x v="2"/>
    <x v="12"/>
    <x v="2"/>
  </r>
  <r>
    <s v="TX502236"/>
    <x v="15"/>
    <x v="1"/>
    <n v="20.3"/>
    <n v="40.6"/>
    <x v="82"/>
    <d v="2025-03-26T00:00:00"/>
    <x v="0"/>
    <x v="1"/>
    <x v="0"/>
    <x v="0"/>
    <x v="11"/>
    <x v="1"/>
    <x v="12"/>
    <x v="0"/>
  </r>
  <r>
    <s v="TX502237"/>
    <x v="2"/>
    <x v="2"/>
    <n v="94.4"/>
    <n v="283.20000000000005"/>
    <x v="82"/>
    <d v="2025-03-25T00:00:00"/>
    <x v="2"/>
    <x v="0"/>
    <x v="2"/>
    <x v="0"/>
    <x v="11"/>
    <x v="3"/>
    <x v="12"/>
    <x v="2"/>
  </r>
  <r>
    <s v="TX502238"/>
    <x v="9"/>
    <x v="0"/>
    <n v="49"/>
    <n v="49"/>
    <x v="82"/>
    <d v="2025-03-26T00:00:00"/>
    <x v="2"/>
    <x v="0"/>
    <x v="2"/>
    <x v="0"/>
    <x v="20"/>
    <x v="1"/>
    <x v="12"/>
    <x v="2"/>
  </r>
  <r>
    <s v="TX502239"/>
    <x v="4"/>
    <x v="1"/>
    <n v="27.2"/>
    <n v="54.4"/>
    <x v="82"/>
    <d v="2025-03-26T00:00:00"/>
    <x v="1"/>
    <x v="0"/>
    <x v="2"/>
    <x v="0"/>
    <x v="1"/>
    <x v="1"/>
    <x v="12"/>
    <x v="1"/>
  </r>
  <r>
    <s v="TX502240"/>
    <x v="2"/>
    <x v="13"/>
    <n v="72.599999999999994"/>
    <n v="435.59999999999997"/>
    <x v="82"/>
    <d v="2025-03-25T00:00:00"/>
    <x v="2"/>
    <x v="0"/>
    <x v="2"/>
    <x v="0"/>
    <x v="2"/>
    <x v="3"/>
    <x v="12"/>
    <x v="2"/>
  </r>
  <r>
    <s v="TX502241"/>
    <x v="15"/>
    <x v="12"/>
    <n v="62.4"/>
    <n v="249.6"/>
    <x v="82"/>
    <d v="2025-03-25T00:00:00"/>
    <x v="2"/>
    <x v="0"/>
    <x v="0"/>
    <x v="0"/>
    <x v="3"/>
    <x v="3"/>
    <x v="12"/>
    <x v="2"/>
  </r>
  <r>
    <s v="TX502242"/>
    <x v="8"/>
    <x v="2"/>
    <n v="19.100000000000001"/>
    <n v="57.300000000000004"/>
    <x v="82"/>
    <d v="2025-03-26T00:00:00"/>
    <x v="1"/>
    <x v="0"/>
    <x v="1"/>
    <x v="0"/>
    <x v="3"/>
    <x v="1"/>
    <x v="12"/>
    <x v="1"/>
  </r>
  <r>
    <s v="TX502243"/>
    <x v="10"/>
    <x v="0"/>
    <n v="29.6"/>
    <n v="29.6"/>
    <x v="82"/>
    <d v="2025-03-28T00:00:00"/>
    <x v="1"/>
    <x v="0"/>
    <x v="4"/>
    <x v="0"/>
    <x v="3"/>
    <x v="5"/>
    <x v="12"/>
    <x v="1"/>
  </r>
  <r>
    <s v="TX502244"/>
    <x v="8"/>
    <x v="1"/>
    <n v="18.899999999999999"/>
    <n v="37.799999999999997"/>
    <x v="82"/>
    <d v="2025-03-26T00:00:00"/>
    <x v="2"/>
    <x v="4"/>
    <x v="2"/>
    <x v="0"/>
    <x v="3"/>
    <x v="1"/>
    <x v="12"/>
    <x v="2"/>
  </r>
  <r>
    <s v="TX502245"/>
    <x v="10"/>
    <x v="9"/>
    <n v="41.4"/>
    <n v="207"/>
    <x v="82"/>
    <d v="2025-03-25T00:00:00"/>
    <x v="1"/>
    <x v="3"/>
    <x v="0"/>
    <x v="0"/>
    <x v="3"/>
    <x v="3"/>
    <x v="12"/>
    <x v="1"/>
  </r>
  <r>
    <s v="TX502246"/>
    <x v="2"/>
    <x v="0"/>
    <n v="118.4"/>
    <n v="118.4"/>
    <x v="82"/>
    <d v="2025-03-25T00:00:00"/>
    <x v="2"/>
    <x v="0"/>
    <x v="2"/>
    <x v="0"/>
    <x v="3"/>
    <x v="3"/>
    <x v="12"/>
    <x v="2"/>
  </r>
  <r>
    <s v="TX502247"/>
    <x v="2"/>
    <x v="1"/>
    <n v="125.3"/>
    <n v="250.6"/>
    <x v="82"/>
    <d v="2025-03-27T00:00:00"/>
    <x v="2"/>
    <x v="0"/>
    <x v="2"/>
    <x v="0"/>
    <x v="3"/>
    <x v="2"/>
    <x v="12"/>
    <x v="2"/>
  </r>
  <r>
    <s v="TX502248"/>
    <x v="3"/>
    <x v="1"/>
    <n v="85.8"/>
    <n v="171.6"/>
    <x v="82"/>
    <d v="2025-03-25T00:00:00"/>
    <x v="2"/>
    <x v="1"/>
    <x v="4"/>
    <x v="0"/>
    <x v="3"/>
    <x v="3"/>
    <x v="12"/>
    <x v="2"/>
  </r>
  <r>
    <s v="TX502249"/>
    <x v="6"/>
    <x v="0"/>
    <n v="44.2"/>
    <n v="44.2"/>
    <x v="82"/>
    <d v="2025-03-27T00:00:00"/>
    <x v="1"/>
    <x v="1"/>
    <x v="0"/>
    <x v="0"/>
    <x v="3"/>
    <x v="2"/>
    <x v="12"/>
    <x v="1"/>
  </r>
  <r>
    <s v="TX502250"/>
    <x v="5"/>
    <x v="12"/>
    <n v="74.099999999999994"/>
    <n v="296.39999999999998"/>
    <x v="82"/>
    <d v="2025-03-26T00:00:00"/>
    <x v="2"/>
    <x v="0"/>
    <x v="0"/>
    <x v="0"/>
    <x v="3"/>
    <x v="1"/>
    <x v="12"/>
    <x v="2"/>
  </r>
  <r>
    <s v="TX502251"/>
    <x v="8"/>
    <x v="0"/>
    <n v="33.799999999999997"/>
    <n v="33.799999999999997"/>
    <x v="82"/>
    <d v="2025-03-25T00:00:00"/>
    <x v="2"/>
    <x v="2"/>
    <x v="2"/>
    <x v="0"/>
    <x v="24"/>
    <x v="3"/>
    <x v="12"/>
    <x v="2"/>
  </r>
  <r>
    <s v="TX502252"/>
    <x v="1"/>
    <x v="1"/>
    <n v="39.1"/>
    <n v="78.2"/>
    <x v="82"/>
    <d v="2025-03-25T00:00:00"/>
    <x v="1"/>
    <x v="0"/>
    <x v="1"/>
    <x v="0"/>
    <x v="24"/>
    <x v="3"/>
    <x v="12"/>
    <x v="1"/>
  </r>
  <r>
    <s v="TX502253"/>
    <x v="0"/>
    <x v="0"/>
    <n v="37.200000000000003"/>
    <n v="37.200000000000003"/>
    <x v="82"/>
    <d v="2025-03-25T00:00:00"/>
    <x v="1"/>
    <x v="0"/>
    <x v="1"/>
    <x v="0"/>
    <x v="16"/>
    <x v="3"/>
    <x v="12"/>
    <x v="1"/>
  </r>
  <r>
    <s v="TX502254"/>
    <x v="15"/>
    <x v="2"/>
    <n v="33.9"/>
    <n v="101.69999999999999"/>
    <x v="82"/>
    <d v="2025-03-26T00:00:00"/>
    <x v="1"/>
    <x v="2"/>
    <x v="0"/>
    <x v="0"/>
    <x v="6"/>
    <x v="1"/>
    <x v="12"/>
    <x v="1"/>
  </r>
  <r>
    <s v="TX502255"/>
    <x v="7"/>
    <x v="20"/>
    <n v="73.3"/>
    <n v="1099.5"/>
    <x v="82"/>
    <d v="2025-03-27T00:00:00"/>
    <x v="2"/>
    <x v="2"/>
    <x v="1"/>
    <x v="0"/>
    <x v="8"/>
    <x v="2"/>
    <x v="12"/>
    <x v="2"/>
  </r>
  <r>
    <s v="TX502256"/>
    <x v="8"/>
    <x v="12"/>
    <n v="35"/>
    <n v="140"/>
    <x v="82"/>
    <d v="2025-03-26T00:00:00"/>
    <x v="2"/>
    <x v="1"/>
    <x v="0"/>
    <x v="0"/>
    <x v="8"/>
    <x v="1"/>
    <x v="12"/>
    <x v="2"/>
  </r>
  <r>
    <s v="TX502257"/>
    <x v="0"/>
    <x v="2"/>
    <n v="22.2"/>
    <n v="66.599999999999994"/>
    <x v="82"/>
    <d v="2025-03-25T00:00:00"/>
    <x v="1"/>
    <x v="1"/>
    <x v="0"/>
    <x v="0"/>
    <x v="17"/>
    <x v="3"/>
    <x v="12"/>
    <x v="1"/>
  </r>
  <r>
    <s v="TX502258"/>
    <x v="10"/>
    <x v="0"/>
    <n v="32.4"/>
    <n v="32.4"/>
    <x v="82"/>
    <d v="2025-03-25T00:00:00"/>
    <x v="2"/>
    <x v="0"/>
    <x v="0"/>
    <x v="0"/>
    <x v="11"/>
    <x v="3"/>
    <x v="12"/>
    <x v="2"/>
  </r>
  <r>
    <s v="TX502259"/>
    <x v="5"/>
    <x v="2"/>
    <n v="88.4"/>
    <n v="265.20000000000005"/>
    <x v="83"/>
    <d v="2025-03-27T00:00:00"/>
    <x v="2"/>
    <x v="1"/>
    <x v="1"/>
    <x v="0"/>
    <x v="11"/>
    <x v="1"/>
    <x v="12"/>
    <x v="2"/>
  </r>
  <r>
    <s v="TX502260"/>
    <x v="5"/>
    <x v="27"/>
    <n v="30.5"/>
    <n v="488"/>
    <x v="83"/>
    <d v="2025-03-26T00:00:00"/>
    <x v="2"/>
    <x v="2"/>
    <x v="0"/>
    <x v="0"/>
    <x v="11"/>
    <x v="3"/>
    <x v="12"/>
    <x v="2"/>
  </r>
  <r>
    <s v="TX502261"/>
    <x v="1"/>
    <x v="13"/>
    <n v="38.1"/>
    <n v="228.60000000000002"/>
    <x v="83"/>
    <d v="2025-03-27T00:00:00"/>
    <x v="2"/>
    <x v="0"/>
    <x v="1"/>
    <x v="0"/>
    <x v="11"/>
    <x v="1"/>
    <x v="12"/>
    <x v="2"/>
  </r>
  <r>
    <s v="TX502262"/>
    <x v="10"/>
    <x v="9"/>
    <n v="37.6"/>
    <n v="188"/>
    <x v="83"/>
    <d v="2025-03-29T00:00:00"/>
    <x v="1"/>
    <x v="0"/>
    <x v="0"/>
    <x v="0"/>
    <x v="11"/>
    <x v="5"/>
    <x v="12"/>
    <x v="1"/>
  </r>
  <r>
    <s v="TX502263"/>
    <x v="15"/>
    <x v="1"/>
    <n v="31.4"/>
    <n v="62.8"/>
    <x v="83"/>
    <d v="2025-03-26T00:00:00"/>
    <x v="1"/>
    <x v="0"/>
    <x v="2"/>
    <x v="0"/>
    <x v="11"/>
    <x v="3"/>
    <x v="12"/>
    <x v="1"/>
  </r>
  <r>
    <s v="TX502264"/>
    <x v="6"/>
    <x v="1"/>
    <n v="61.5"/>
    <n v="123"/>
    <x v="83"/>
    <d v="2025-03-26T00:00:00"/>
    <x v="1"/>
    <x v="3"/>
    <x v="0"/>
    <x v="0"/>
    <x v="31"/>
    <x v="3"/>
    <x v="12"/>
    <x v="1"/>
  </r>
  <r>
    <s v="TX502265"/>
    <x v="6"/>
    <x v="0"/>
    <n v="72.599999999999994"/>
    <n v="72.599999999999994"/>
    <x v="83"/>
    <d v="2025-03-26T00:00:00"/>
    <x v="1"/>
    <x v="0"/>
    <x v="1"/>
    <x v="0"/>
    <x v="21"/>
    <x v="3"/>
    <x v="12"/>
    <x v="1"/>
  </r>
  <r>
    <s v="TX502266"/>
    <x v="9"/>
    <x v="2"/>
    <n v="26.9"/>
    <n v="80.699999999999989"/>
    <x v="83"/>
    <d v="2025-03-30T00:00:00"/>
    <x v="3"/>
    <x v="4"/>
    <x v="1"/>
    <x v="0"/>
    <x v="46"/>
    <x v="0"/>
    <x v="12"/>
    <x v="3"/>
  </r>
  <r>
    <s v="TX502267"/>
    <x v="17"/>
    <x v="4"/>
    <n v="29.4"/>
    <n v="352.79999999999995"/>
    <x v="83"/>
    <d v="2025-03-26T00:00:00"/>
    <x v="2"/>
    <x v="1"/>
    <x v="0"/>
    <x v="0"/>
    <x v="51"/>
    <x v="3"/>
    <x v="12"/>
    <x v="2"/>
  </r>
  <r>
    <s v="TX502268"/>
    <x v="17"/>
    <x v="1"/>
    <n v="42.1"/>
    <n v="84.2"/>
    <x v="83"/>
    <d v="2025-03-26T00:00:00"/>
    <x v="2"/>
    <x v="3"/>
    <x v="1"/>
    <x v="0"/>
    <x v="1"/>
    <x v="3"/>
    <x v="12"/>
    <x v="2"/>
  </r>
  <r>
    <s v="TX502269"/>
    <x v="5"/>
    <x v="0"/>
    <n v="40.5"/>
    <n v="40.5"/>
    <x v="83"/>
    <d v="2025-03-26T00:00:00"/>
    <x v="2"/>
    <x v="2"/>
    <x v="1"/>
    <x v="0"/>
    <x v="1"/>
    <x v="3"/>
    <x v="12"/>
    <x v="2"/>
  </r>
  <r>
    <s v="TX502270"/>
    <x v="2"/>
    <x v="12"/>
    <n v="182.3"/>
    <n v="729.2"/>
    <x v="83"/>
    <d v="2025-03-26T00:00:00"/>
    <x v="2"/>
    <x v="1"/>
    <x v="0"/>
    <x v="0"/>
    <x v="1"/>
    <x v="3"/>
    <x v="12"/>
    <x v="2"/>
  </r>
  <r>
    <s v="TX502271"/>
    <x v="2"/>
    <x v="9"/>
    <n v="157"/>
    <n v="785"/>
    <x v="83"/>
    <d v="2025-03-28T00:00:00"/>
    <x v="2"/>
    <x v="1"/>
    <x v="2"/>
    <x v="0"/>
    <x v="2"/>
    <x v="2"/>
    <x v="12"/>
    <x v="2"/>
  </r>
  <r>
    <s v="TX502272"/>
    <x v="17"/>
    <x v="9"/>
    <n v="45.2"/>
    <n v="226"/>
    <x v="83"/>
    <d v="2025-03-28T00:00:00"/>
    <x v="2"/>
    <x v="1"/>
    <x v="0"/>
    <x v="0"/>
    <x v="22"/>
    <x v="2"/>
    <x v="12"/>
    <x v="2"/>
  </r>
  <r>
    <s v="TX502273"/>
    <x v="15"/>
    <x v="12"/>
    <n v="27.4"/>
    <n v="109.6"/>
    <x v="83"/>
    <d v="2025-03-27T00:00:00"/>
    <x v="2"/>
    <x v="0"/>
    <x v="0"/>
    <x v="0"/>
    <x v="3"/>
    <x v="1"/>
    <x v="12"/>
    <x v="2"/>
  </r>
  <r>
    <s v="TX502274"/>
    <x v="5"/>
    <x v="9"/>
    <n v="34.1"/>
    <n v="170.5"/>
    <x v="83"/>
    <d v="2025-03-27T00:00:00"/>
    <x v="1"/>
    <x v="0"/>
    <x v="2"/>
    <x v="0"/>
    <x v="3"/>
    <x v="1"/>
    <x v="12"/>
    <x v="1"/>
  </r>
  <r>
    <s v="TX502275"/>
    <x v="0"/>
    <x v="1"/>
    <n v="26"/>
    <n v="52"/>
    <x v="83"/>
    <d v="2025-03-27T00:00:00"/>
    <x v="1"/>
    <x v="2"/>
    <x v="1"/>
    <x v="0"/>
    <x v="3"/>
    <x v="1"/>
    <x v="12"/>
    <x v="1"/>
  </r>
  <r>
    <s v="TX502276"/>
    <x v="8"/>
    <x v="3"/>
    <n v="19.399999999999999"/>
    <n v="135.79999999999998"/>
    <x v="83"/>
    <d v="2025-03-27T00:00:00"/>
    <x v="0"/>
    <x v="1"/>
    <x v="1"/>
    <x v="0"/>
    <x v="3"/>
    <x v="1"/>
    <x v="12"/>
    <x v="0"/>
  </r>
  <r>
    <s v="TX502277"/>
    <x v="16"/>
    <x v="2"/>
    <n v="30.3"/>
    <n v="90.9"/>
    <x v="83"/>
    <d v="2025-03-28T00:00:00"/>
    <x v="2"/>
    <x v="1"/>
    <x v="2"/>
    <x v="0"/>
    <x v="3"/>
    <x v="2"/>
    <x v="12"/>
    <x v="2"/>
  </r>
  <r>
    <s v="TX502278"/>
    <x v="2"/>
    <x v="2"/>
    <n v="101.4"/>
    <n v="304.20000000000005"/>
    <x v="83"/>
    <d v="2025-03-26T00:00:00"/>
    <x v="1"/>
    <x v="0"/>
    <x v="0"/>
    <x v="0"/>
    <x v="3"/>
    <x v="3"/>
    <x v="12"/>
    <x v="1"/>
  </r>
  <r>
    <s v="TX502279"/>
    <x v="3"/>
    <x v="9"/>
    <n v="55.5"/>
    <n v="277.5"/>
    <x v="83"/>
    <d v="2025-03-28T00:00:00"/>
    <x v="1"/>
    <x v="1"/>
    <x v="0"/>
    <x v="0"/>
    <x v="24"/>
    <x v="2"/>
    <x v="12"/>
    <x v="1"/>
  </r>
  <r>
    <s v="TX502280"/>
    <x v="8"/>
    <x v="0"/>
    <n v="23.1"/>
    <n v="23.1"/>
    <x v="83"/>
    <d v="2025-03-26T00:00:00"/>
    <x v="1"/>
    <x v="0"/>
    <x v="0"/>
    <x v="0"/>
    <x v="25"/>
    <x v="3"/>
    <x v="12"/>
    <x v="1"/>
  </r>
  <r>
    <s v="TX502281"/>
    <x v="18"/>
    <x v="1"/>
    <n v="38.9"/>
    <n v="77.8"/>
    <x v="83"/>
    <d v="2025-03-26T00:00:00"/>
    <x v="1"/>
    <x v="2"/>
    <x v="0"/>
    <x v="0"/>
    <x v="25"/>
    <x v="3"/>
    <x v="12"/>
    <x v="1"/>
  </r>
  <r>
    <s v="TX502282"/>
    <x v="6"/>
    <x v="11"/>
    <n v="116.3"/>
    <n v="1046.7"/>
    <x v="83"/>
    <d v="2025-03-29T00:00:00"/>
    <x v="2"/>
    <x v="0"/>
    <x v="0"/>
    <x v="0"/>
    <x v="5"/>
    <x v="5"/>
    <x v="12"/>
    <x v="2"/>
  </r>
  <r>
    <s v="TX502283"/>
    <x v="16"/>
    <x v="11"/>
    <n v="64.099999999999994"/>
    <n v="576.9"/>
    <x v="83"/>
    <d v="2025-03-25T00:00:00"/>
    <x v="2"/>
    <x v="0"/>
    <x v="2"/>
    <x v="0"/>
    <x v="6"/>
    <x v="7"/>
    <x v="12"/>
    <x v="2"/>
  </r>
  <r>
    <s v="TX502284"/>
    <x v="2"/>
    <x v="13"/>
    <n v="109.2"/>
    <n v="655.20000000000005"/>
    <x v="83"/>
    <d v="2025-03-27T00:00:00"/>
    <x v="1"/>
    <x v="0"/>
    <x v="1"/>
    <x v="0"/>
    <x v="8"/>
    <x v="1"/>
    <x v="12"/>
    <x v="1"/>
  </r>
  <r>
    <s v="TX502285"/>
    <x v="10"/>
    <x v="9"/>
    <n v="23.2"/>
    <n v="116"/>
    <x v="84"/>
    <d v="2025-03-27T00:00:00"/>
    <x v="1"/>
    <x v="0"/>
    <x v="1"/>
    <x v="0"/>
    <x v="8"/>
    <x v="3"/>
    <x v="12"/>
    <x v="1"/>
  </r>
  <r>
    <s v="TX502286"/>
    <x v="18"/>
    <x v="13"/>
    <n v="81.2"/>
    <n v="487.20000000000005"/>
    <x v="84"/>
    <d v="2025-03-28T00:00:00"/>
    <x v="1"/>
    <x v="2"/>
    <x v="2"/>
    <x v="0"/>
    <x v="8"/>
    <x v="1"/>
    <x v="12"/>
    <x v="1"/>
  </r>
  <r>
    <s v="TX502287"/>
    <x v="1"/>
    <x v="21"/>
    <n v="35.700000000000003"/>
    <n v="499.80000000000007"/>
    <x v="84"/>
    <d v="2025-03-27T00:00:00"/>
    <x v="1"/>
    <x v="3"/>
    <x v="0"/>
    <x v="0"/>
    <x v="8"/>
    <x v="3"/>
    <x v="12"/>
    <x v="1"/>
  </r>
  <r>
    <s v="TX502288"/>
    <x v="7"/>
    <x v="1"/>
    <n v="44.5"/>
    <n v="89"/>
    <x v="84"/>
    <d v="2025-03-29T00:00:00"/>
    <x v="1"/>
    <x v="4"/>
    <x v="0"/>
    <x v="0"/>
    <x v="9"/>
    <x v="2"/>
    <x v="12"/>
    <x v="1"/>
  </r>
  <r>
    <s v="TX502289"/>
    <x v="1"/>
    <x v="9"/>
    <n v="32"/>
    <n v="160"/>
    <x v="84"/>
    <d v="2025-03-28T00:00:00"/>
    <x v="3"/>
    <x v="1"/>
    <x v="1"/>
    <x v="0"/>
    <x v="9"/>
    <x v="1"/>
    <x v="12"/>
    <x v="3"/>
  </r>
  <r>
    <s v="TX502290"/>
    <x v="8"/>
    <x v="0"/>
    <n v="25.7"/>
    <n v="25.7"/>
    <x v="84"/>
    <d v="2025-03-27T00:00:00"/>
    <x v="1"/>
    <x v="0"/>
    <x v="0"/>
    <x v="0"/>
    <x v="10"/>
    <x v="3"/>
    <x v="12"/>
    <x v="1"/>
  </r>
  <r>
    <s v="TX502291"/>
    <x v="16"/>
    <x v="2"/>
    <n v="65.599999999999994"/>
    <n v="196.79999999999998"/>
    <x v="84"/>
    <d v="2025-04-01T00:00:00"/>
    <x v="1"/>
    <x v="0"/>
    <x v="0"/>
    <x v="0"/>
    <x v="11"/>
    <x v="4"/>
    <x v="12"/>
    <x v="1"/>
  </r>
  <r>
    <s v="TX502292"/>
    <x v="1"/>
    <x v="12"/>
    <n v="52.1"/>
    <n v="208.4"/>
    <x v="84"/>
    <d v="2025-03-27T00:00:00"/>
    <x v="2"/>
    <x v="0"/>
    <x v="2"/>
    <x v="0"/>
    <x v="11"/>
    <x v="3"/>
    <x v="12"/>
    <x v="2"/>
  </r>
  <r>
    <s v="TX502293"/>
    <x v="8"/>
    <x v="0"/>
    <n v="31"/>
    <n v="31"/>
    <x v="84"/>
    <d v="2025-03-27T00:00:00"/>
    <x v="1"/>
    <x v="0"/>
    <x v="1"/>
    <x v="0"/>
    <x v="19"/>
    <x v="3"/>
    <x v="12"/>
    <x v="1"/>
  </r>
  <r>
    <s v="TX502294"/>
    <x v="8"/>
    <x v="0"/>
    <n v="32"/>
    <n v="32"/>
    <x v="84"/>
    <d v="2025-03-28T00:00:00"/>
    <x v="3"/>
    <x v="3"/>
    <x v="1"/>
    <x v="0"/>
    <x v="31"/>
    <x v="1"/>
    <x v="12"/>
    <x v="3"/>
  </r>
  <r>
    <s v="TX502295"/>
    <x v="16"/>
    <x v="12"/>
    <n v="58.3"/>
    <n v="233.2"/>
    <x v="84"/>
    <d v="2025-03-30T00:00:00"/>
    <x v="1"/>
    <x v="1"/>
    <x v="4"/>
    <x v="0"/>
    <x v="20"/>
    <x v="5"/>
    <x v="12"/>
    <x v="1"/>
  </r>
  <r>
    <s v="TX502296"/>
    <x v="8"/>
    <x v="2"/>
    <n v="31"/>
    <n v="93"/>
    <x v="84"/>
    <d v="2025-03-28T00:00:00"/>
    <x v="2"/>
    <x v="2"/>
    <x v="4"/>
    <x v="0"/>
    <x v="13"/>
    <x v="1"/>
    <x v="12"/>
    <x v="2"/>
  </r>
  <r>
    <s v="TX502297"/>
    <x v="3"/>
    <x v="0"/>
    <n v="40.299999999999997"/>
    <n v="40.299999999999997"/>
    <x v="84"/>
    <d v="2025-03-27T00:00:00"/>
    <x v="1"/>
    <x v="1"/>
    <x v="2"/>
    <x v="0"/>
    <x v="54"/>
    <x v="3"/>
    <x v="12"/>
    <x v="1"/>
  </r>
  <r>
    <s v="TX502298"/>
    <x v="6"/>
    <x v="2"/>
    <n v="47.3"/>
    <n v="141.89999999999998"/>
    <x v="84"/>
    <d v="2025-03-28T00:00:00"/>
    <x v="1"/>
    <x v="4"/>
    <x v="2"/>
    <x v="0"/>
    <x v="2"/>
    <x v="1"/>
    <x v="12"/>
    <x v="1"/>
  </r>
  <r>
    <s v="TX502299"/>
    <x v="2"/>
    <x v="0"/>
    <n v="82.8"/>
    <n v="82.8"/>
    <x v="84"/>
    <d v="2025-03-27T00:00:00"/>
    <x v="1"/>
    <x v="0"/>
    <x v="0"/>
    <x v="0"/>
    <x v="2"/>
    <x v="3"/>
    <x v="12"/>
    <x v="1"/>
  </r>
  <r>
    <s v="TX502300"/>
    <x v="8"/>
    <x v="0"/>
    <n v="18.5"/>
    <n v="18.5"/>
    <x v="84"/>
    <d v="2025-04-09T00:00:00"/>
    <x v="2"/>
    <x v="0"/>
    <x v="0"/>
    <x v="0"/>
    <x v="44"/>
    <x v="12"/>
    <x v="12"/>
    <x v="2"/>
  </r>
  <r>
    <s v="TX502301"/>
    <x v="3"/>
    <x v="1"/>
    <n v="60.4"/>
    <n v="120.8"/>
    <x v="84"/>
    <d v="2025-03-27T00:00:00"/>
    <x v="1"/>
    <x v="2"/>
    <x v="0"/>
    <x v="0"/>
    <x v="22"/>
    <x v="3"/>
    <x v="12"/>
    <x v="1"/>
  </r>
  <r>
    <s v="TX502302"/>
    <x v="6"/>
    <x v="9"/>
    <n v="80.2"/>
    <n v="401"/>
    <x v="84"/>
    <d v="2025-04-02T00:00:00"/>
    <x v="1"/>
    <x v="1"/>
    <x v="1"/>
    <x v="0"/>
    <x v="50"/>
    <x v="6"/>
    <x v="12"/>
    <x v="1"/>
  </r>
  <r>
    <s v="TX502303"/>
    <x v="4"/>
    <x v="0"/>
    <n v="41.5"/>
    <n v="41.5"/>
    <x v="84"/>
    <d v="2025-03-28T00:00:00"/>
    <x v="1"/>
    <x v="2"/>
    <x v="0"/>
    <x v="0"/>
    <x v="3"/>
    <x v="1"/>
    <x v="12"/>
    <x v="1"/>
  </r>
  <r>
    <s v="TX502304"/>
    <x v="2"/>
    <x v="1"/>
    <n v="83.9"/>
    <n v="167.8"/>
    <x v="84"/>
    <d v="2025-03-29T00:00:00"/>
    <x v="2"/>
    <x v="0"/>
    <x v="0"/>
    <x v="0"/>
    <x v="3"/>
    <x v="2"/>
    <x v="12"/>
    <x v="2"/>
  </r>
  <r>
    <s v="TX502305"/>
    <x v="8"/>
    <x v="1"/>
    <n v="16.7"/>
    <n v="33.4"/>
    <x v="84"/>
    <d v="2025-03-30T00:00:00"/>
    <x v="2"/>
    <x v="0"/>
    <x v="1"/>
    <x v="0"/>
    <x v="3"/>
    <x v="5"/>
    <x v="12"/>
    <x v="2"/>
  </r>
  <r>
    <s v="TX502306"/>
    <x v="9"/>
    <x v="1"/>
    <n v="72.900000000000006"/>
    <n v="145.80000000000001"/>
    <x v="84"/>
    <d v="2025-03-27T00:00:00"/>
    <x v="1"/>
    <x v="2"/>
    <x v="1"/>
    <x v="0"/>
    <x v="3"/>
    <x v="3"/>
    <x v="12"/>
    <x v="1"/>
  </r>
  <r>
    <s v="TX502307"/>
    <x v="5"/>
    <x v="1"/>
    <n v="50.2"/>
    <n v="100.4"/>
    <x v="84"/>
    <d v="2025-03-28T00:00:00"/>
    <x v="2"/>
    <x v="1"/>
    <x v="2"/>
    <x v="0"/>
    <x v="3"/>
    <x v="1"/>
    <x v="12"/>
    <x v="2"/>
  </r>
  <r>
    <s v="TX502308"/>
    <x v="3"/>
    <x v="1"/>
    <n v="34.200000000000003"/>
    <n v="68.400000000000006"/>
    <x v="84"/>
    <d v="2025-04-05T00:00:00"/>
    <x v="0"/>
    <x v="1"/>
    <x v="0"/>
    <x v="0"/>
    <x v="3"/>
    <x v="14"/>
    <x v="12"/>
    <x v="0"/>
  </r>
  <r>
    <s v="TX502309"/>
    <x v="5"/>
    <x v="1"/>
    <n v="107.9"/>
    <n v="215.8"/>
    <x v="84"/>
    <d v="2025-03-26T00:00:00"/>
    <x v="1"/>
    <x v="1"/>
    <x v="4"/>
    <x v="0"/>
    <x v="3"/>
    <x v="7"/>
    <x v="12"/>
    <x v="1"/>
  </r>
  <r>
    <s v="TX502310"/>
    <x v="0"/>
    <x v="2"/>
    <n v="17.5"/>
    <n v="52.5"/>
    <x v="84"/>
    <d v="2025-03-28T00:00:00"/>
    <x v="1"/>
    <x v="4"/>
    <x v="0"/>
    <x v="0"/>
    <x v="3"/>
    <x v="1"/>
    <x v="12"/>
    <x v="1"/>
  </r>
  <r>
    <s v="TX502311"/>
    <x v="13"/>
    <x v="20"/>
    <n v="44.7"/>
    <n v="670.5"/>
    <x v="84"/>
    <d v="2025-03-27T00:00:00"/>
    <x v="1"/>
    <x v="0"/>
    <x v="1"/>
    <x v="0"/>
    <x v="3"/>
    <x v="3"/>
    <x v="12"/>
    <x v="1"/>
  </r>
  <r>
    <s v="TX502312"/>
    <x v="12"/>
    <x v="13"/>
    <n v="92.7"/>
    <n v="556.20000000000005"/>
    <x v="84"/>
    <d v="2025-03-28T00:00:00"/>
    <x v="2"/>
    <x v="2"/>
    <x v="1"/>
    <x v="0"/>
    <x v="3"/>
    <x v="1"/>
    <x v="12"/>
    <x v="2"/>
  </r>
  <r>
    <s v="TX502313"/>
    <x v="7"/>
    <x v="2"/>
    <n v="48.8"/>
    <n v="146.39999999999998"/>
    <x v="84"/>
    <d v="2025-03-28T00:00:00"/>
    <x v="2"/>
    <x v="2"/>
    <x v="0"/>
    <x v="0"/>
    <x v="3"/>
    <x v="1"/>
    <x v="12"/>
    <x v="2"/>
  </r>
  <r>
    <s v="TX502314"/>
    <x v="4"/>
    <x v="27"/>
    <n v="21.3"/>
    <n v="340.8"/>
    <x v="84"/>
    <d v="2025-03-30T00:00:00"/>
    <x v="2"/>
    <x v="3"/>
    <x v="3"/>
    <x v="0"/>
    <x v="3"/>
    <x v="5"/>
    <x v="12"/>
    <x v="2"/>
  </r>
  <r>
    <s v="TX502315"/>
    <x v="16"/>
    <x v="0"/>
    <n v="52.5"/>
    <n v="52.5"/>
    <x v="84"/>
    <d v="2025-03-27T00:00:00"/>
    <x v="2"/>
    <x v="0"/>
    <x v="0"/>
    <x v="0"/>
    <x v="3"/>
    <x v="3"/>
    <x v="12"/>
    <x v="2"/>
  </r>
  <r>
    <s v="TX502316"/>
    <x v="1"/>
    <x v="1"/>
    <n v="92.4"/>
    <n v="184.8"/>
    <x v="84"/>
    <d v="2025-04-01T00:00:00"/>
    <x v="2"/>
    <x v="0"/>
    <x v="2"/>
    <x v="0"/>
    <x v="3"/>
    <x v="4"/>
    <x v="12"/>
    <x v="2"/>
  </r>
  <r>
    <s v="TX502317"/>
    <x v="4"/>
    <x v="5"/>
    <n v="58.3"/>
    <n v="641.29999999999995"/>
    <x v="84"/>
    <d v="2025-03-28T00:00:00"/>
    <x v="1"/>
    <x v="1"/>
    <x v="2"/>
    <x v="0"/>
    <x v="3"/>
    <x v="1"/>
    <x v="12"/>
    <x v="1"/>
  </r>
  <r>
    <s v="TX502318"/>
    <x v="6"/>
    <x v="44"/>
    <n v="152.6"/>
    <n v="3509.7999999999997"/>
    <x v="85"/>
    <d v="2025-03-29T00:00:00"/>
    <x v="0"/>
    <x v="0"/>
    <x v="0"/>
    <x v="0"/>
    <x v="3"/>
    <x v="1"/>
    <x v="12"/>
    <x v="0"/>
  </r>
  <r>
    <s v="TX502319"/>
    <x v="8"/>
    <x v="1"/>
    <n v="26"/>
    <n v="52"/>
    <x v="85"/>
    <d v="2025-03-27T00:00:00"/>
    <x v="0"/>
    <x v="0"/>
    <x v="1"/>
    <x v="0"/>
    <x v="3"/>
    <x v="7"/>
    <x v="12"/>
    <x v="0"/>
  </r>
  <r>
    <s v="TX502320"/>
    <x v="1"/>
    <x v="12"/>
    <n v="33.1"/>
    <n v="132.4"/>
    <x v="85"/>
    <d v="2025-03-27T00:00:00"/>
    <x v="1"/>
    <x v="2"/>
    <x v="4"/>
    <x v="0"/>
    <x v="5"/>
    <x v="7"/>
    <x v="12"/>
    <x v="1"/>
  </r>
  <r>
    <s v="TX502321"/>
    <x v="18"/>
    <x v="0"/>
    <n v="51.4"/>
    <n v="51.4"/>
    <x v="85"/>
    <d v="2025-03-29T00:00:00"/>
    <x v="2"/>
    <x v="1"/>
    <x v="1"/>
    <x v="0"/>
    <x v="5"/>
    <x v="1"/>
    <x v="12"/>
    <x v="2"/>
  </r>
  <r>
    <s v="TX502322"/>
    <x v="8"/>
    <x v="1"/>
    <n v="30.2"/>
    <n v="60.4"/>
    <x v="85"/>
    <d v="2025-03-28T00:00:00"/>
    <x v="2"/>
    <x v="2"/>
    <x v="2"/>
    <x v="0"/>
    <x v="6"/>
    <x v="3"/>
    <x v="12"/>
    <x v="2"/>
  </r>
  <r>
    <s v="TX502323"/>
    <x v="2"/>
    <x v="13"/>
    <n v="97"/>
    <n v="582"/>
    <x v="85"/>
    <d v="2025-03-31T00:00:00"/>
    <x v="2"/>
    <x v="0"/>
    <x v="2"/>
    <x v="0"/>
    <x v="7"/>
    <x v="5"/>
    <x v="12"/>
    <x v="2"/>
  </r>
  <r>
    <s v="TX502324"/>
    <x v="2"/>
    <x v="0"/>
    <n v="76.900000000000006"/>
    <n v="76.900000000000006"/>
    <x v="85"/>
    <d v="2025-03-28T00:00:00"/>
    <x v="1"/>
    <x v="1"/>
    <x v="2"/>
    <x v="0"/>
    <x v="8"/>
    <x v="3"/>
    <x v="12"/>
    <x v="1"/>
  </r>
  <r>
    <s v="TX502325"/>
    <x v="7"/>
    <x v="13"/>
    <n v="36.1"/>
    <n v="216.60000000000002"/>
    <x v="85"/>
    <d v="2025-03-31T00:00:00"/>
    <x v="2"/>
    <x v="0"/>
    <x v="0"/>
    <x v="0"/>
    <x v="8"/>
    <x v="5"/>
    <x v="12"/>
    <x v="2"/>
  </r>
  <r>
    <s v="TX502326"/>
    <x v="1"/>
    <x v="3"/>
    <n v="34.4"/>
    <n v="240.79999999999998"/>
    <x v="85"/>
    <d v="2025-03-27T00:00:00"/>
    <x v="2"/>
    <x v="2"/>
    <x v="1"/>
    <x v="0"/>
    <x v="11"/>
    <x v="7"/>
    <x v="12"/>
    <x v="2"/>
  </r>
  <r>
    <s v="TX502327"/>
    <x v="1"/>
    <x v="31"/>
    <n v="53.4"/>
    <n v="1495.2"/>
    <x v="85"/>
    <d v="2025-03-29T00:00:00"/>
    <x v="2"/>
    <x v="1"/>
    <x v="0"/>
    <x v="0"/>
    <x v="18"/>
    <x v="1"/>
    <x v="12"/>
    <x v="2"/>
  </r>
  <r>
    <s v="TX502328"/>
    <x v="2"/>
    <x v="0"/>
    <n v="77.599999999999994"/>
    <n v="77.599999999999994"/>
    <x v="85"/>
    <d v="2025-03-28T00:00:00"/>
    <x v="2"/>
    <x v="0"/>
    <x v="1"/>
    <x v="0"/>
    <x v="19"/>
    <x v="3"/>
    <x v="12"/>
    <x v="2"/>
  </r>
  <r>
    <s v="TX502329"/>
    <x v="1"/>
    <x v="2"/>
    <n v="71.7"/>
    <n v="215.10000000000002"/>
    <x v="85"/>
    <d v="2025-03-30T00:00:00"/>
    <x v="2"/>
    <x v="1"/>
    <x v="0"/>
    <x v="0"/>
    <x v="19"/>
    <x v="2"/>
    <x v="12"/>
    <x v="2"/>
  </r>
  <r>
    <s v="TX502330"/>
    <x v="3"/>
    <x v="2"/>
    <n v="80.599999999999994"/>
    <n v="241.79999999999998"/>
    <x v="85"/>
    <d v="2025-03-28T00:00:00"/>
    <x v="1"/>
    <x v="4"/>
    <x v="1"/>
    <x v="0"/>
    <x v="19"/>
    <x v="3"/>
    <x v="12"/>
    <x v="1"/>
  </r>
  <r>
    <s v="TX502331"/>
    <x v="1"/>
    <x v="20"/>
    <n v="70"/>
    <n v="1050"/>
    <x v="85"/>
    <d v="2025-03-29T00:00:00"/>
    <x v="1"/>
    <x v="0"/>
    <x v="0"/>
    <x v="0"/>
    <x v="20"/>
    <x v="1"/>
    <x v="12"/>
    <x v="1"/>
  </r>
  <r>
    <s v="TX502332"/>
    <x v="4"/>
    <x v="13"/>
    <n v="27.3"/>
    <n v="163.80000000000001"/>
    <x v="85"/>
    <d v="2025-03-29T00:00:00"/>
    <x v="2"/>
    <x v="1"/>
    <x v="1"/>
    <x v="0"/>
    <x v="2"/>
    <x v="1"/>
    <x v="12"/>
    <x v="2"/>
  </r>
  <r>
    <s v="TX502333"/>
    <x v="8"/>
    <x v="21"/>
    <n v="37.6"/>
    <n v="526.4"/>
    <x v="85"/>
    <d v="2025-03-29T00:00:00"/>
    <x v="1"/>
    <x v="1"/>
    <x v="0"/>
    <x v="0"/>
    <x v="3"/>
    <x v="1"/>
    <x v="12"/>
    <x v="1"/>
  </r>
  <r>
    <s v="TX502334"/>
    <x v="5"/>
    <x v="2"/>
    <n v="36.6"/>
    <n v="109.80000000000001"/>
    <x v="85"/>
    <d v="2025-03-29T00:00:00"/>
    <x v="2"/>
    <x v="4"/>
    <x v="0"/>
    <x v="0"/>
    <x v="3"/>
    <x v="1"/>
    <x v="12"/>
    <x v="2"/>
  </r>
  <r>
    <s v="TX502335"/>
    <x v="13"/>
    <x v="0"/>
    <n v="55.2"/>
    <n v="55.2"/>
    <x v="85"/>
    <d v="2025-03-29T00:00:00"/>
    <x v="1"/>
    <x v="3"/>
    <x v="0"/>
    <x v="0"/>
    <x v="3"/>
    <x v="1"/>
    <x v="12"/>
    <x v="1"/>
  </r>
  <r>
    <s v="TX502336"/>
    <x v="6"/>
    <x v="9"/>
    <n v="59.9"/>
    <n v="299.5"/>
    <x v="85"/>
    <d v="2025-03-29T00:00:00"/>
    <x v="1"/>
    <x v="0"/>
    <x v="0"/>
    <x v="0"/>
    <x v="3"/>
    <x v="1"/>
    <x v="12"/>
    <x v="1"/>
  </r>
  <r>
    <s v="TX502337"/>
    <x v="6"/>
    <x v="0"/>
    <n v="44"/>
    <n v="44"/>
    <x v="85"/>
    <d v="2025-03-28T00:00:00"/>
    <x v="2"/>
    <x v="2"/>
    <x v="2"/>
    <x v="0"/>
    <x v="3"/>
    <x v="3"/>
    <x v="12"/>
    <x v="2"/>
  </r>
  <r>
    <s v="TX502338"/>
    <x v="9"/>
    <x v="1"/>
    <n v="68.7"/>
    <n v="137.4"/>
    <x v="85"/>
    <d v="2025-03-27T00:00:00"/>
    <x v="1"/>
    <x v="0"/>
    <x v="0"/>
    <x v="0"/>
    <x v="3"/>
    <x v="7"/>
    <x v="12"/>
    <x v="1"/>
  </r>
  <r>
    <s v="TX502339"/>
    <x v="5"/>
    <x v="1"/>
    <n v="61.6"/>
    <n v="123.2"/>
    <x v="85"/>
    <d v="2025-03-31T00:00:00"/>
    <x v="1"/>
    <x v="3"/>
    <x v="1"/>
    <x v="0"/>
    <x v="3"/>
    <x v="5"/>
    <x v="12"/>
    <x v="1"/>
  </r>
  <r>
    <s v="TX502340"/>
    <x v="7"/>
    <x v="3"/>
    <n v="51.8"/>
    <n v="362.59999999999997"/>
    <x v="85"/>
    <d v="2025-03-28T00:00:00"/>
    <x v="1"/>
    <x v="0"/>
    <x v="0"/>
    <x v="0"/>
    <x v="3"/>
    <x v="3"/>
    <x v="12"/>
    <x v="1"/>
  </r>
  <r>
    <s v="TX502341"/>
    <x v="8"/>
    <x v="7"/>
    <n v="46.2"/>
    <n v="462"/>
    <x v="85"/>
    <d v="2025-03-29T00:00:00"/>
    <x v="1"/>
    <x v="1"/>
    <x v="2"/>
    <x v="0"/>
    <x v="3"/>
    <x v="1"/>
    <x v="12"/>
    <x v="1"/>
  </r>
  <r>
    <s v="TX502342"/>
    <x v="0"/>
    <x v="1"/>
    <n v="19.399999999999999"/>
    <n v="38.799999999999997"/>
    <x v="85"/>
    <d v="2025-03-29T00:00:00"/>
    <x v="2"/>
    <x v="1"/>
    <x v="2"/>
    <x v="0"/>
    <x v="6"/>
    <x v="1"/>
    <x v="12"/>
    <x v="2"/>
  </r>
  <r>
    <s v="TX502343"/>
    <x v="11"/>
    <x v="2"/>
    <n v="52.1"/>
    <n v="156.30000000000001"/>
    <x v="85"/>
    <d v="2025-03-30T00:00:00"/>
    <x v="1"/>
    <x v="3"/>
    <x v="3"/>
    <x v="0"/>
    <x v="6"/>
    <x v="2"/>
    <x v="12"/>
    <x v="1"/>
  </r>
  <r>
    <s v="TX502344"/>
    <x v="6"/>
    <x v="0"/>
    <n v="74.900000000000006"/>
    <n v="74.900000000000006"/>
    <x v="85"/>
    <d v="2025-03-29T00:00:00"/>
    <x v="3"/>
    <x v="0"/>
    <x v="0"/>
    <x v="0"/>
    <x v="7"/>
    <x v="1"/>
    <x v="12"/>
    <x v="3"/>
  </r>
  <r>
    <s v="TX502345"/>
    <x v="9"/>
    <x v="3"/>
    <n v="49.6"/>
    <n v="347.2"/>
    <x v="85"/>
    <d v="2025-03-30T00:00:00"/>
    <x v="2"/>
    <x v="4"/>
    <x v="0"/>
    <x v="0"/>
    <x v="8"/>
    <x v="2"/>
    <x v="12"/>
    <x v="2"/>
  </r>
  <r>
    <s v="TX502346"/>
    <x v="16"/>
    <x v="12"/>
    <n v="82.8"/>
    <n v="331.2"/>
    <x v="86"/>
    <d v="2025-03-31T00:00:00"/>
    <x v="2"/>
    <x v="4"/>
    <x v="0"/>
    <x v="0"/>
    <x v="8"/>
    <x v="2"/>
    <x v="12"/>
    <x v="2"/>
  </r>
  <r>
    <s v="TX502347"/>
    <x v="2"/>
    <x v="0"/>
    <n v="97.7"/>
    <n v="97.7"/>
    <x v="86"/>
    <d v="2025-03-29T00:00:00"/>
    <x v="2"/>
    <x v="1"/>
    <x v="0"/>
    <x v="0"/>
    <x v="8"/>
    <x v="3"/>
    <x v="12"/>
    <x v="2"/>
  </r>
  <r>
    <s v="TX502348"/>
    <x v="6"/>
    <x v="9"/>
    <n v="83.6"/>
    <n v="418"/>
    <x v="86"/>
    <d v="2025-03-29T00:00:00"/>
    <x v="2"/>
    <x v="4"/>
    <x v="0"/>
    <x v="0"/>
    <x v="8"/>
    <x v="3"/>
    <x v="12"/>
    <x v="2"/>
  </r>
  <r>
    <s v="TX502349"/>
    <x v="8"/>
    <x v="9"/>
    <n v="23.5"/>
    <n v="117.5"/>
    <x v="86"/>
    <d v="2025-04-01T00:00:00"/>
    <x v="3"/>
    <x v="0"/>
    <x v="0"/>
    <x v="0"/>
    <x v="8"/>
    <x v="5"/>
    <x v="12"/>
    <x v="3"/>
  </r>
  <r>
    <s v="TX502350"/>
    <x v="9"/>
    <x v="2"/>
    <n v="44.6"/>
    <n v="133.80000000000001"/>
    <x v="86"/>
    <d v="2025-03-31T00:00:00"/>
    <x v="2"/>
    <x v="4"/>
    <x v="1"/>
    <x v="0"/>
    <x v="26"/>
    <x v="2"/>
    <x v="12"/>
    <x v="2"/>
  </r>
  <r>
    <s v="TX502351"/>
    <x v="0"/>
    <x v="2"/>
    <n v="20.100000000000001"/>
    <n v="60.300000000000004"/>
    <x v="86"/>
    <d v="2025-03-30T00:00:00"/>
    <x v="2"/>
    <x v="3"/>
    <x v="4"/>
    <x v="0"/>
    <x v="11"/>
    <x v="1"/>
    <x v="12"/>
    <x v="2"/>
  </r>
  <r>
    <s v="TX502352"/>
    <x v="2"/>
    <x v="9"/>
    <n v="153.6"/>
    <n v="768"/>
    <x v="86"/>
    <d v="2025-03-29T00:00:00"/>
    <x v="2"/>
    <x v="1"/>
    <x v="2"/>
    <x v="0"/>
    <x v="53"/>
    <x v="3"/>
    <x v="12"/>
    <x v="2"/>
  </r>
  <r>
    <s v="TX502353"/>
    <x v="1"/>
    <x v="1"/>
    <n v="71.8"/>
    <n v="143.6"/>
    <x v="86"/>
    <d v="2025-04-01T00:00:00"/>
    <x v="2"/>
    <x v="1"/>
    <x v="0"/>
    <x v="0"/>
    <x v="1"/>
    <x v="5"/>
    <x v="12"/>
    <x v="2"/>
  </r>
  <r>
    <s v="TX502354"/>
    <x v="10"/>
    <x v="0"/>
    <n v="64.7"/>
    <n v="64.7"/>
    <x v="86"/>
    <d v="2025-03-30T00:00:00"/>
    <x v="0"/>
    <x v="0"/>
    <x v="1"/>
    <x v="0"/>
    <x v="1"/>
    <x v="1"/>
    <x v="12"/>
    <x v="0"/>
  </r>
  <r>
    <s v="TX502355"/>
    <x v="9"/>
    <x v="8"/>
    <n v="60.4"/>
    <n v="483.2"/>
    <x v="86"/>
    <d v="2025-03-30T00:00:00"/>
    <x v="2"/>
    <x v="3"/>
    <x v="2"/>
    <x v="0"/>
    <x v="2"/>
    <x v="1"/>
    <x v="12"/>
    <x v="2"/>
  </r>
  <r>
    <s v="TX502356"/>
    <x v="6"/>
    <x v="12"/>
    <n v="86"/>
    <n v="344"/>
    <x v="86"/>
    <d v="2025-03-31T00:00:00"/>
    <x v="2"/>
    <x v="2"/>
    <x v="2"/>
    <x v="0"/>
    <x v="22"/>
    <x v="2"/>
    <x v="12"/>
    <x v="2"/>
  </r>
  <r>
    <s v="TX502357"/>
    <x v="12"/>
    <x v="1"/>
    <n v="42.1"/>
    <n v="84.2"/>
    <x v="86"/>
    <d v="2025-03-29T00:00:00"/>
    <x v="2"/>
    <x v="4"/>
    <x v="1"/>
    <x v="0"/>
    <x v="34"/>
    <x v="3"/>
    <x v="12"/>
    <x v="2"/>
  </r>
  <r>
    <s v="TX502358"/>
    <x v="16"/>
    <x v="11"/>
    <n v="51.1"/>
    <n v="459.90000000000003"/>
    <x v="86"/>
    <d v="2025-03-29T00:00:00"/>
    <x v="1"/>
    <x v="2"/>
    <x v="1"/>
    <x v="0"/>
    <x v="3"/>
    <x v="3"/>
    <x v="12"/>
    <x v="1"/>
  </r>
  <r>
    <s v="TX502359"/>
    <x v="9"/>
    <x v="12"/>
    <n v="73.8"/>
    <n v="295.2"/>
    <x v="86"/>
    <d v="2025-03-29T00:00:00"/>
    <x v="1"/>
    <x v="4"/>
    <x v="0"/>
    <x v="0"/>
    <x v="3"/>
    <x v="3"/>
    <x v="12"/>
    <x v="1"/>
  </r>
  <r>
    <s v="TX502360"/>
    <x v="8"/>
    <x v="9"/>
    <n v="27"/>
    <n v="135"/>
    <x v="86"/>
    <d v="2025-03-31T00:00:00"/>
    <x v="2"/>
    <x v="2"/>
    <x v="2"/>
    <x v="0"/>
    <x v="3"/>
    <x v="2"/>
    <x v="12"/>
    <x v="2"/>
  </r>
  <r>
    <s v="TX502361"/>
    <x v="8"/>
    <x v="13"/>
    <n v="60.1"/>
    <n v="360.6"/>
    <x v="86"/>
    <d v="2025-03-29T00:00:00"/>
    <x v="1"/>
    <x v="3"/>
    <x v="0"/>
    <x v="0"/>
    <x v="3"/>
    <x v="3"/>
    <x v="12"/>
    <x v="1"/>
  </r>
  <r>
    <s v="TX502362"/>
    <x v="2"/>
    <x v="3"/>
    <n v="94.1"/>
    <n v="658.69999999999993"/>
    <x v="86"/>
    <d v="2025-03-30T00:00:00"/>
    <x v="2"/>
    <x v="4"/>
    <x v="1"/>
    <x v="0"/>
    <x v="3"/>
    <x v="1"/>
    <x v="12"/>
    <x v="2"/>
  </r>
  <r>
    <s v="TX502363"/>
    <x v="2"/>
    <x v="1"/>
    <n v="124.1"/>
    <n v="248.2"/>
    <x v="86"/>
    <d v="2025-03-28T00:00:00"/>
    <x v="2"/>
    <x v="2"/>
    <x v="3"/>
    <x v="0"/>
    <x v="43"/>
    <x v="7"/>
    <x v="12"/>
    <x v="2"/>
  </r>
  <r>
    <s v="TX502364"/>
    <x v="8"/>
    <x v="12"/>
    <n v="16.899999999999999"/>
    <n v="67.599999999999994"/>
    <x v="86"/>
    <d v="2025-03-31T00:00:00"/>
    <x v="1"/>
    <x v="3"/>
    <x v="0"/>
    <x v="0"/>
    <x v="6"/>
    <x v="2"/>
    <x v="12"/>
    <x v="1"/>
  </r>
  <r>
    <s v="TX502365"/>
    <x v="1"/>
    <x v="0"/>
    <n v="36.9"/>
    <n v="36.9"/>
    <x v="86"/>
    <d v="2025-03-29T00:00:00"/>
    <x v="1"/>
    <x v="0"/>
    <x v="0"/>
    <x v="0"/>
    <x v="6"/>
    <x v="3"/>
    <x v="12"/>
    <x v="1"/>
  </r>
  <r>
    <s v="TX502366"/>
    <x v="9"/>
    <x v="1"/>
    <n v="22.6"/>
    <n v="45.2"/>
    <x v="86"/>
    <d v="2025-04-10T00:00:00"/>
    <x v="2"/>
    <x v="2"/>
    <x v="1"/>
    <x v="0"/>
    <x v="8"/>
    <x v="10"/>
    <x v="12"/>
    <x v="2"/>
  </r>
  <r>
    <s v="TX502367"/>
    <x v="7"/>
    <x v="12"/>
    <n v="35"/>
    <n v="140"/>
    <x v="86"/>
    <d v="2025-04-02T00:00:00"/>
    <x v="1"/>
    <x v="3"/>
    <x v="1"/>
    <x v="0"/>
    <x v="8"/>
    <x v="0"/>
    <x v="12"/>
    <x v="1"/>
  </r>
  <r>
    <s v="TX502368"/>
    <x v="9"/>
    <x v="13"/>
    <n v="63.6"/>
    <n v="381.6"/>
    <x v="86"/>
    <d v="2025-04-04T00:00:00"/>
    <x v="0"/>
    <x v="1"/>
    <x v="2"/>
    <x v="0"/>
    <x v="8"/>
    <x v="6"/>
    <x v="12"/>
    <x v="0"/>
  </r>
  <r>
    <s v="TX502369"/>
    <x v="15"/>
    <x v="12"/>
    <n v="78.599999999999994"/>
    <n v="314.39999999999998"/>
    <x v="86"/>
    <d v="2025-03-29T00:00:00"/>
    <x v="1"/>
    <x v="4"/>
    <x v="1"/>
    <x v="0"/>
    <x v="8"/>
    <x v="3"/>
    <x v="12"/>
    <x v="1"/>
  </r>
  <r>
    <s v="TX502370"/>
    <x v="3"/>
    <x v="1"/>
    <n v="38.5"/>
    <n v="77"/>
    <x v="86"/>
    <d v="2025-03-29T00:00:00"/>
    <x v="1"/>
    <x v="0"/>
    <x v="2"/>
    <x v="0"/>
    <x v="8"/>
    <x v="3"/>
    <x v="12"/>
    <x v="1"/>
  </r>
  <r>
    <s v="TX502371"/>
    <x v="8"/>
    <x v="5"/>
    <n v="71.5"/>
    <n v="786.5"/>
    <x v="86"/>
    <d v="2025-03-29T00:00:00"/>
    <x v="2"/>
    <x v="1"/>
    <x v="4"/>
    <x v="0"/>
    <x v="8"/>
    <x v="3"/>
    <x v="12"/>
    <x v="2"/>
  </r>
  <r>
    <s v="TX502372"/>
    <x v="6"/>
    <x v="12"/>
    <n v="121.4"/>
    <n v="485.6"/>
    <x v="86"/>
    <d v="2025-04-01T00:00:00"/>
    <x v="1"/>
    <x v="1"/>
    <x v="2"/>
    <x v="0"/>
    <x v="17"/>
    <x v="5"/>
    <x v="12"/>
    <x v="1"/>
  </r>
  <r>
    <s v="TX502373"/>
    <x v="11"/>
    <x v="0"/>
    <n v="40.200000000000003"/>
    <n v="40.200000000000003"/>
    <x v="86"/>
    <d v="2025-03-31T00:00:00"/>
    <x v="2"/>
    <x v="0"/>
    <x v="2"/>
    <x v="0"/>
    <x v="11"/>
    <x v="2"/>
    <x v="12"/>
    <x v="2"/>
  </r>
  <r>
    <s v="TX502374"/>
    <x v="5"/>
    <x v="9"/>
    <n v="31.9"/>
    <n v="159.5"/>
    <x v="86"/>
    <d v="2025-03-30T00:00:00"/>
    <x v="2"/>
    <x v="2"/>
    <x v="2"/>
    <x v="0"/>
    <x v="28"/>
    <x v="1"/>
    <x v="12"/>
    <x v="2"/>
  </r>
  <r>
    <s v="TX502375"/>
    <x v="14"/>
    <x v="9"/>
    <n v="15.8"/>
    <n v="79"/>
    <x v="87"/>
    <d v="2025-03-30T00:00:00"/>
    <x v="1"/>
    <x v="3"/>
    <x v="2"/>
    <x v="0"/>
    <x v="21"/>
    <x v="3"/>
    <x v="12"/>
    <x v="1"/>
  </r>
  <r>
    <s v="TX502376"/>
    <x v="10"/>
    <x v="1"/>
    <n v="25.1"/>
    <n v="50.2"/>
    <x v="87"/>
    <d v="2025-03-31T00:00:00"/>
    <x v="0"/>
    <x v="1"/>
    <x v="0"/>
    <x v="0"/>
    <x v="21"/>
    <x v="1"/>
    <x v="12"/>
    <x v="0"/>
  </r>
  <r>
    <s v="TX502377"/>
    <x v="1"/>
    <x v="44"/>
    <n v="38.1"/>
    <n v="876.30000000000007"/>
    <x v="87"/>
    <d v="2025-03-30T00:00:00"/>
    <x v="2"/>
    <x v="4"/>
    <x v="0"/>
    <x v="0"/>
    <x v="1"/>
    <x v="3"/>
    <x v="12"/>
    <x v="2"/>
  </r>
  <r>
    <s v="TX502378"/>
    <x v="3"/>
    <x v="1"/>
    <n v="42.2"/>
    <n v="84.4"/>
    <x v="87"/>
    <d v="2025-03-31T00:00:00"/>
    <x v="2"/>
    <x v="0"/>
    <x v="2"/>
    <x v="0"/>
    <x v="1"/>
    <x v="1"/>
    <x v="12"/>
    <x v="2"/>
  </r>
  <r>
    <s v="TX502379"/>
    <x v="0"/>
    <x v="7"/>
    <n v="12.3"/>
    <n v="123"/>
    <x v="87"/>
    <d v="2025-03-30T00:00:00"/>
    <x v="2"/>
    <x v="4"/>
    <x v="0"/>
    <x v="0"/>
    <x v="2"/>
    <x v="3"/>
    <x v="12"/>
    <x v="2"/>
  </r>
  <r>
    <s v="TX502380"/>
    <x v="7"/>
    <x v="0"/>
    <n v="30.2"/>
    <n v="30.2"/>
    <x v="87"/>
    <d v="2025-03-31T00:00:00"/>
    <x v="2"/>
    <x v="1"/>
    <x v="2"/>
    <x v="0"/>
    <x v="34"/>
    <x v="1"/>
    <x v="12"/>
    <x v="2"/>
  </r>
  <r>
    <s v="TX502381"/>
    <x v="5"/>
    <x v="2"/>
    <n v="25.3"/>
    <n v="75.900000000000006"/>
    <x v="87"/>
    <d v="2025-04-01T00:00:00"/>
    <x v="2"/>
    <x v="2"/>
    <x v="0"/>
    <x v="0"/>
    <x v="3"/>
    <x v="2"/>
    <x v="12"/>
    <x v="2"/>
  </r>
  <r>
    <s v="TX502382"/>
    <x v="8"/>
    <x v="9"/>
    <n v="29.7"/>
    <n v="148.5"/>
    <x v="87"/>
    <d v="2025-03-31T00:00:00"/>
    <x v="1"/>
    <x v="3"/>
    <x v="0"/>
    <x v="0"/>
    <x v="3"/>
    <x v="1"/>
    <x v="12"/>
    <x v="1"/>
  </r>
  <r>
    <s v="TX502383"/>
    <x v="9"/>
    <x v="8"/>
    <n v="32.9"/>
    <n v="263.2"/>
    <x v="87"/>
    <d v="2025-03-30T00:00:00"/>
    <x v="0"/>
    <x v="3"/>
    <x v="2"/>
    <x v="0"/>
    <x v="3"/>
    <x v="3"/>
    <x v="12"/>
    <x v="0"/>
  </r>
  <r>
    <s v="TX502384"/>
    <x v="10"/>
    <x v="1"/>
    <n v="43.6"/>
    <n v="87.2"/>
    <x v="87"/>
    <d v="2025-03-30T00:00:00"/>
    <x v="1"/>
    <x v="1"/>
    <x v="2"/>
    <x v="0"/>
    <x v="3"/>
    <x v="3"/>
    <x v="12"/>
    <x v="1"/>
  </r>
  <r>
    <s v="TX502385"/>
    <x v="15"/>
    <x v="12"/>
    <n v="78.400000000000006"/>
    <n v="313.60000000000002"/>
    <x v="87"/>
    <d v="2025-03-30T00:00:00"/>
    <x v="1"/>
    <x v="2"/>
    <x v="0"/>
    <x v="0"/>
    <x v="3"/>
    <x v="3"/>
    <x v="12"/>
    <x v="1"/>
  </r>
  <r>
    <s v="TX502386"/>
    <x v="6"/>
    <x v="1"/>
    <n v="56.5"/>
    <n v="113"/>
    <x v="87"/>
    <d v="2025-04-02T00:00:00"/>
    <x v="1"/>
    <x v="1"/>
    <x v="1"/>
    <x v="0"/>
    <x v="3"/>
    <x v="5"/>
    <x v="12"/>
    <x v="1"/>
  </r>
  <r>
    <s v="TX502387"/>
    <x v="16"/>
    <x v="0"/>
    <n v="36.700000000000003"/>
    <n v="36.700000000000003"/>
    <x v="87"/>
    <d v="2025-03-30T00:00:00"/>
    <x v="2"/>
    <x v="0"/>
    <x v="2"/>
    <x v="0"/>
    <x v="3"/>
    <x v="3"/>
    <x v="12"/>
    <x v="2"/>
  </r>
  <r>
    <s v="TX502388"/>
    <x v="2"/>
    <x v="12"/>
    <n v="103.6"/>
    <n v="414.4"/>
    <x v="87"/>
    <d v="2025-04-09T00:00:00"/>
    <x v="1"/>
    <x v="4"/>
    <x v="2"/>
    <x v="0"/>
    <x v="3"/>
    <x v="11"/>
    <x v="12"/>
    <x v="1"/>
  </r>
  <r>
    <s v="TX502389"/>
    <x v="8"/>
    <x v="13"/>
    <n v="16.2"/>
    <n v="97.199999999999989"/>
    <x v="87"/>
    <d v="2025-04-02T00:00:00"/>
    <x v="1"/>
    <x v="1"/>
    <x v="2"/>
    <x v="0"/>
    <x v="6"/>
    <x v="5"/>
    <x v="12"/>
    <x v="1"/>
  </r>
  <r>
    <s v="TX502390"/>
    <x v="8"/>
    <x v="1"/>
    <n v="20.2"/>
    <n v="40.4"/>
    <x v="87"/>
    <d v="2025-03-30T00:00:00"/>
    <x v="2"/>
    <x v="0"/>
    <x v="0"/>
    <x v="0"/>
    <x v="6"/>
    <x v="3"/>
    <x v="12"/>
    <x v="2"/>
  </r>
  <r>
    <s v="TX502391"/>
    <x v="11"/>
    <x v="1"/>
    <n v="26.9"/>
    <n v="53.8"/>
    <x v="87"/>
    <d v="2025-03-31T00:00:00"/>
    <x v="2"/>
    <x v="2"/>
    <x v="0"/>
    <x v="0"/>
    <x v="6"/>
    <x v="1"/>
    <x v="12"/>
    <x v="2"/>
  </r>
  <r>
    <s v="TX502392"/>
    <x v="1"/>
    <x v="1"/>
    <n v="82.4"/>
    <n v="164.8"/>
    <x v="87"/>
    <d v="2025-04-01T00:00:00"/>
    <x v="0"/>
    <x v="0"/>
    <x v="0"/>
    <x v="0"/>
    <x v="7"/>
    <x v="2"/>
    <x v="12"/>
    <x v="0"/>
  </r>
  <r>
    <s v="TX502393"/>
    <x v="2"/>
    <x v="1"/>
    <n v="117.8"/>
    <n v="235.6"/>
    <x v="87"/>
    <d v="2025-03-31T00:00:00"/>
    <x v="1"/>
    <x v="1"/>
    <x v="2"/>
    <x v="0"/>
    <x v="8"/>
    <x v="1"/>
    <x v="12"/>
    <x v="1"/>
  </r>
  <r>
    <s v="TX502394"/>
    <x v="11"/>
    <x v="12"/>
    <n v="36.700000000000003"/>
    <n v="146.80000000000001"/>
    <x v="87"/>
    <d v="2025-03-30T00:00:00"/>
    <x v="1"/>
    <x v="1"/>
    <x v="0"/>
    <x v="0"/>
    <x v="8"/>
    <x v="3"/>
    <x v="12"/>
    <x v="1"/>
  </r>
  <r>
    <s v="TX502395"/>
    <x v="17"/>
    <x v="2"/>
    <n v="46.8"/>
    <n v="140.39999999999998"/>
    <x v="87"/>
    <d v="2025-03-30T00:00:00"/>
    <x v="1"/>
    <x v="4"/>
    <x v="2"/>
    <x v="0"/>
    <x v="10"/>
    <x v="3"/>
    <x v="12"/>
    <x v="1"/>
  </r>
  <r>
    <s v="TX502396"/>
    <x v="3"/>
    <x v="0"/>
    <n v="61.4"/>
    <n v="61.4"/>
    <x v="87"/>
    <d v="2025-03-30T00:00:00"/>
    <x v="1"/>
    <x v="1"/>
    <x v="0"/>
    <x v="0"/>
    <x v="10"/>
    <x v="3"/>
    <x v="12"/>
    <x v="1"/>
  </r>
  <r>
    <s v="TX502397"/>
    <x v="15"/>
    <x v="1"/>
    <n v="22.9"/>
    <n v="45.8"/>
    <x v="87"/>
    <d v="2025-03-30T00:00:00"/>
    <x v="1"/>
    <x v="0"/>
    <x v="0"/>
    <x v="0"/>
    <x v="11"/>
    <x v="3"/>
    <x v="12"/>
    <x v="1"/>
  </r>
  <r>
    <s v="TX502398"/>
    <x v="10"/>
    <x v="1"/>
    <n v="22.1"/>
    <n v="44.2"/>
    <x v="87"/>
    <d v="2025-03-30T00:00:00"/>
    <x v="2"/>
    <x v="4"/>
    <x v="0"/>
    <x v="0"/>
    <x v="11"/>
    <x v="3"/>
    <x v="12"/>
    <x v="2"/>
  </r>
  <r>
    <s v="TX502399"/>
    <x v="12"/>
    <x v="1"/>
    <n v="31"/>
    <n v="62"/>
    <x v="87"/>
    <d v="2025-03-31T00:00:00"/>
    <x v="2"/>
    <x v="2"/>
    <x v="0"/>
    <x v="0"/>
    <x v="18"/>
    <x v="1"/>
    <x v="12"/>
    <x v="2"/>
  </r>
  <r>
    <s v="TX502400"/>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925A6F-8E5F-4534-987F-C1F3EEB5739F}" name="Pvt 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dataField="1" showAll="0"/>
    <pivotField showAll="0"/>
    <pivotField showAll="0"/>
    <pivotField dataField="1" showAll="0"/>
    <pivotField showAll="0"/>
    <pivotField showAll="0"/>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80A031-061C-4752-B1C9-194E684BAA0A}" name="pvt 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65:B70"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axis="axisRow" showAll="0">
      <items count="5">
        <item x="0"/>
        <item x="2"/>
        <item x="1"/>
        <item x="3"/>
        <item t="default"/>
      </items>
    </pivotField>
    <pivotField showAll="0">
      <items count="6">
        <item h="1" x="0"/>
        <item h="1" x="3"/>
        <item h="1" x="4"/>
        <item h="1" x="2"/>
        <item x="1"/>
        <item t="default"/>
      </items>
    </pivotField>
    <pivotField showAll="0"/>
    <pivotField showAll="0"/>
    <pivotField showAll="0"/>
    <pivotField showAll="0"/>
    <pivotField showAll="0"/>
    <pivotField showAll="0"/>
    <pivotField showAll="0">
      <items count="8">
        <item x="0"/>
        <item x="1"/>
        <item x="2"/>
        <item x="4"/>
        <item x="3"/>
        <item n="6 to 10" x="5"/>
        <item n="More than 10" sd="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5">
    <i>
      <x/>
    </i>
    <i>
      <x v="1"/>
    </i>
    <i>
      <x v="2"/>
    </i>
    <i>
      <x v="3"/>
    </i>
    <i t="grand">
      <x/>
    </i>
  </rowItems>
  <colItems count="1">
    <i/>
  </colItems>
  <dataFields count="1">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C51F57-CCA9-4B2B-B27E-F6C4B3F7234C}" name="pvt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154:G159" firstHeaderRow="1" firstDataRow="2" firstDataCol="1"/>
  <pivotFields count="18">
    <pivotField dataField="1"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h="1" x="0"/>
        <item h="1" x="3"/>
        <item h="1" x="4"/>
        <item h="1"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x="2"/>
        <item h="1" x="1"/>
        <item h="1" x="3"/>
        <item h="1" x="0"/>
        <item t="default"/>
      </items>
    </pivotField>
    <pivotField showAll="0">
      <items count="8">
        <item x="0"/>
        <item x="1"/>
        <item x="2"/>
        <item x="4"/>
        <item x="3"/>
        <item n="6 to 10" x="5"/>
        <item n="More than 10" sd="0"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h="1" sd="0" x="4"/>
        <item h="1" sd="0" x="5"/>
        <item h="1" sd="0" x="6"/>
        <item h="1" sd="0" x="7"/>
        <item h="1" sd="0" x="8"/>
        <item h="1" sd="0" x="9"/>
        <item h="1" sd="0" x="10"/>
        <item h="1" sd="0" x="11"/>
        <item h="1" sd="0" x="12"/>
        <item h="1"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10">
    <chartFormat chart="35" format="5" series="1">
      <pivotArea type="data" outline="0" fieldPosition="0">
        <references count="2">
          <reference field="4294967294" count="1" selected="0">
            <x v="0"/>
          </reference>
          <reference field="9" count="1" selected="0">
            <x v="0"/>
          </reference>
        </references>
      </pivotArea>
    </chartFormat>
    <chartFormat chart="35" format="6" series="1">
      <pivotArea type="data" outline="0" fieldPosition="0">
        <references count="2">
          <reference field="4294967294" count="1" selected="0">
            <x v="0"/>
          </reference>
          <reference field="9" count="1" selected="0">
            <x v="1"/>
          </reference>
        </references>
      </pivotArea>
    </chartFormat>
    <chartFormat chart="35" format="7" series="1">
      <pivotArea type="data" outline="0" fieldPosition="0">
        <references count="2">
          <reference field="4294967294" count="1" selected="0">
            <x v="0"/>
          </reference>
          <reference field="9" count="1" selected="0">
            <x v="2"/>
          </reference>
        </references>
      </pivotArea>
    </chartFormat>
    <chartFormat chart="35" format="8" series="1">
      <pivotArea type="data" outline="0" fieldPosition="0">
        <references count="2">
          <reference field="4294967294" count="1" selected="0">
            <x v="0"/>
          </reference>
          <reference field="9" count="1" selected="0">
            <x v="3"/>
          </reference>
        </references>
      </pivotArea>
    </chartFormat>
    <chartFormat chart="35" format="9" series="1">
      <pivotArea type="data" outline="0" fieldPosition="0">
        <references count="2">
          <reference field="4294967294" count="1" selected="0">
            <x v="0"/>
          </reference>
          <reference field="9" count="1" selected="0">
            <x v="4"/>
          </reference>
        </references>
      </pivotArea>
    </chartFormat>
    <chartFormat chart="37" format="15" series="1">
      <pivotArea type="data" outline="0" fieldPosition="0">
        <references count="2">
          <reference field="4294967294" count="1" selected="0">
            <x v="0"/>
          </reference>
          <reference field="9" count="1" selected="0">
            <x v="0"/>
          </reference>
        </references>
      </pivotArea>
    </chartFormat>
    <chartFormat chart="37" format="16" series="1">
      <pivotArea type="data" outline="0" fieldPosition="0">
        <references count="2">
          <reference field="4294967294" count="1" selected="0">
            <x v="0"/>
          </reference>
          <reference field="9" count="1" selected="0">
            <x v="1"/>
          </reference>
        </references>
      </pivotArea>
    </chartFormat>
    <chartFormat chart="37" format="17" series="1">
      <pivotArea type="data" outline="0" fieldPosition="0">
        <references count="2">
          <reference field="4294967294" count="1" selected="0">
            <x v="0"/>
          </reference>
          <reference field="9" count="1" selected="0">
            <x v="2"/>
          </reference>
        </references>
      </pivotArea>
    </chartFormat>
    <chartFormat chart="37" format="18" series="1">
      <pivotArea type="data" outline="0" fieldPosition="0">
        <references count="2">
          <reference field="4294967294" count="1" selected="0">
            <x v="0"/>
          </reference>
          <reference field="9" count="1" selected="0">
            <x v="3"/>
          </reference>
        </references>
      </pivotArea>
    </chartFormat>
    <chartFormat chart="37" format="19"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36BFD0-8562-48B0-9459-42DB67A0AD7F}" name="pvtdur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135:B149" firstHeaderRow="1" firstDataRow="1" firstDataCol="1"/>
  <pivotFields count="18">
    <pivotField dataField="1"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h="1" x="0"/>
        <item h="1" x="3"/>
        <item h="1" x="4"/>
        <item h="1"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h="1" x="1"/>
        <item h="1" x="3"/>
        <item h="1" x="0"/>
        <item t="default"/>
      </items>
    </pivotField>
    <pivotField showAll="0">
      <items count="8">
        <item x="0"/>
        <item x="1"/>
        <item x="2"/>
        <item x="4"/>
        <item x="3"/>
        <item n="6 to 10" x="5"/>
        <item n="More than 10" sd="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4">
    <i>
      <x/>
    </i>
    <i>
      <x v="1"/>
    </i>
    <i>
      <x v="2"/>
    </i>
    <i>
      <x v="3"/>
    </i>
    <i>
      <x v="4"/>
    </i>
    <i>
      <x v="5"/>
    </i>
    <i>
      <x v="6"/>
    </i>
    <i>
      <x v="7"/>
    </i>
    <i>
      <x v="8"/>
    </i>
    <i>
      <x v="9"/>
    </i>
    <i>
      <x v="11"/>
    </i>
    <i>
      <x v="13"/>
    </i>
    <i>
      <x v="14"/>
    </i>
    <i t="grand">
      <x/>
    </i>
  </rowItems>
  <colItems count="1">
    <i/>
  </colItems>
  <dataFields count="1">
    <dataField name="Count of TX ID" fld="0" subtotal="count" baseField="0" baseItem="0"/>
  </dataFields>
  <chartFormats count="2">
    <chartFormat chart="18"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9E1E71-D82E-41AC-A544-57B3768D737E}" name="Pvt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9:F61"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axis="axisCol" showAll="0">
      <items count="5">
        <item x="0"/>
        <item x="2"/>
        <item x="1"/>
        <item x="3"/>
        <item t="default"/>
      </items>
    </pivotField>
    <pivotField showAll="0">
      <items count="6">
        <item h="1" x="0"/>
        <item h="1" x="3"/>
        <item h="1" x="4"/>
        <item h="1" x="2"/>
        <item x="1"/>
        <item t="default"/>
      </items>
    </pivotField>
    <pivotField showAll="0"/>
    <pivotField showAll="0"/>
    <pivotField showAll="0"/>
    <pivotField showAll="0"/>
    <pivotField showAll="0"/>
    <pivotField showAll="0"/>
    <pivotField showAll="0">
      <items count="8">
        <item x="0"/>
        <item x="1"/>
        <item x="2"/>
        <item x="4"/>
        <item x="3"/>
        <item n="6 to 10" x="5"/>
        <item n="More than 10" sd="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0"/>
    </i>
    <i>
      <x v="4"/>
    </i>
    <i>
      <x v="12"/>
    </i>
    <i>
      <x v="5"/>
    </i>
    <i>
      <x v="11"/>
    </i>
    <i>
      <x v="14"/>
    </i>
    <i>
      <x v="1"/>
    </i>
    <i>
      <x v="17"/>
    </i>
    <i>
      <x v="9"/>
    </i>
    <i>
      <x v="2"/>
    </i>
    <i>
      <x v="3"/>
    </i>
    <i>
      <x v="19"/>
    </i>
    <i>
      <x v="8"/>
    </i>
    <i>
      <x v="15"/>
    </i>
    <i>
      <x/>
    </i>
    <i>
      <x v="7"/>
    </i>
    <i t="grand">
      <x/>
    </i>
  </rowItems>
  <colFields count="1">
    <field x="7"/>
  </colFields>
  <colItems count="5">
    <i>
      <x/>
    </i>
    <i>
      <x v="1"/>
    </i>
    <i>
      <x v="2"/>
    </i>
    <i>
      <x v="3"/>
    </i>
    <i t="grand">
      <x/>
    </i>
  </colItems>
  <dataFields count="1">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A5583B-E101-4C15-A02D-7B7DC0858FB2}" name="Pvt 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1:C25"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h="1" x="4"/>
        <item h="1"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h="1" x="1"/>
        <item h="1" x="3"/>
        <item h="1"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formats count="3">
    <format dxfId="71">
      <pivotArea dataOnly="0" labelOnly="1" outline="0" fieldPosition="0">
        <references count="1">
          <reference field="4294967294" count="1">
            <x v="1"/>
          </reference>
        </references>
      </pivotArea>
    </format>
    <format dxfId="70">
      <pivotArea collapsedLevelsAreSubtotals="1" fieldPosition="0">
        <references count="2">
          <reference field="4294967294" count="1" selected="0">
            <x v="1"/>
          </reference>
          <reference field="13" count="1">
            <x v="0"/>
          </reference>
        </references>
      </pivotArea>
    </format>
    <format dxfId="69">
      <pivotArea outline="0" collapsedLevelsAreSubtotals="1" fieldPosition="0">
        <references count="1">
          <reference field="4294967294" count="1" selected="0">
            <x v="1"/>
          </reference>
        </references>
      </pivotArea>
    </format>
  </formats>
  <chartFormats count="2">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A37489-4ACD-45AC-8AEE-DB7128E4A4B9}" name="pvt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8:B36"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h="1" x="4"/>
        <item h="1" x="2"/>
        <item x="1"/>
        <item t="default"/>
      </items>
    </pivotField>
    <pivotField showAll="0"/>
    <pivotField showAll="0"/>
    <pivotField showAll="0"/>
    <pivotField showAll="0"/>
    <pivotField showAll="0"/>
    <pivotField showAll="0">
      <items count="5">
        <item x="2"/>
        <item h="1" x="1"/>
        <item h="1" x="3"/>
        <item h="1" x="0"/>
        <item t="default"/>
      </items>
    </pivotField>
    <pivotField axis="axisRow" showAll="0">
      <items count="8">
        <item x="0"/>
        <item x="1"/>
        <item x="2"/>
        <item x="4"/>
        <item x="3"/>
        <item n="6 to 10" x="5"/>
        <item n="More than 10" sd="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BDF7659-7983-4B5C-A5C8-AB4FED8C1EB7}" name="PVTmap"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7">
  <location ref="A74:D110"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0">
        <item x="14"/>
        <item x="10"/>
        <item x="12"/>
        <item x="15"/>
        <item x="4"/>
        <item x="7"/>
        <item x="6"/>
        <item x="19"/>
        <item x="18"/>
        <item x="11"/>
        <item x="17"/>
        <item x="5"/>
        <item x="0"/>
        <item x="2"/>
        <item x="9"/>
        <item x="16"/>
        <item x="1"/>
        <item x="13"/>
        <item x="8"/>
        <item x="3"/>
      </items>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items count="4">
        <item x="0"/>
        <item x="2"/>
        <item x="1"/>
        <item x="3"/>
      </items>
      <extLst>
        <ext xmlns:x14="http://schemas.microsoft.com/office/spreadsheetml/2009/9/main" uri="{2946ED86-A175-432a-8AC1-64E0C546D7DE}">
          <x14:pivotField fillDownLabels="1"/>
        </ext>
      </extLst>
    </pivotField>
    <pivotField compact="0" outline="0" showAll="0" defaultSubtotal="0">
      <items count="5">
        <item h="1" x="0"/>
        <item h="1" x="3"/>
        <item h="1" x="4"/>
        <item h="1"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h="1" x="1"/>
        <item h="1" x="3"/>
        <item h="1"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n="6 to 10" x="5"/>
        <item n="More than 10" sd="0"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36">
    <i>
      <x/>
      <x/>
    </i>
    <i r="1">
      <x v="3"/>
    </i>
    <i r="1">
      <x v="6"/>
    </i>
    <i r="1">
      <x v="9"/>
    </i>
    <i r="1">
      <x v="11"/>
    </i>
    <i r="1">
      <x v="12"/>
    </i>
    <i r="1">
      <x v="14"/>
    </i>
    <i r="1">
      <x v="15"/>
    </i>
    <i r="1">
      <x v="16"/>
    </i>
    <i r="1">
      <x v="18"/>
    </i>
    <i r="1">
      <x v="19"/>
    </i>
    <i r="1">
      <x v="20"/>
    </i>
    <i r="1">
      <x v="22"/>
    </i>
    <i r="1">
      <x v="23"/>
    </i>
    <i r="1">
      <x v="26"/>
    </i>
    <i r="1">
      <x v="27"/>
    </i>
    <i r="1">
      <x v="28"/>
    </i>
    <i r="1">
      <x v="29"/>
    </i>
    <i r="1">
      <x v="30"/>
    </i>
    <i r="1">
      <x v="32"/>
    </i>
    <i r="1">
      <x v="33"/>
    </i>
    <i r="1">
      <x v="35"/>
    </i>
    <i r="1">
      <x v="36"/>
    </i>
    <i r="1">
      <x v="37"/>
    </i>
    <i r="1">
      <x v="38"/>
    </i>
    <i r="1">
      <x v="40"/>
    </i>
    <i r="1">
      <x v="41"/>
    </i>
    <i r="1">
      <x v="42"/>
    </i>
    <i r="1">
      <x v="44"/>
    </i>
    <i r="1">
      <x v="47"/>
    </i>
    <i r="1">
      <x v="48"/>
    </i>
    <i r="1">
      <x v="49"/>
    </i>
    <i r="1">
      <x v="52"/>
    </i>
    <i r="1">
      <x v="53"/>
    </i>
    <i r="1">
      <x v="55"/>
    </i>
    <i r="1">
      <x v="56"/>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51C8B10-C022-46DD-8DC7-7DFAB85A2B41}" name="pvtmatrix"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DA6FA2F6-7D5C-49BB-AC2E-6AD804E686A3}" sourceName="Order Mode">
  <pivotTables>
    <pivotTable tabId="5" name="pvtrating"/>
    <pivotTable tabId="5" name="pvt gender"/>
    <pivotTable tabId="5" name="Pvt trend"/>
    <pivotTable tabId="5" name="pvtduration"/>
    <pivotTable tabId="5" name="PVTmap"/>
    <pivotTable tabId="5" name="Pvtproduct"/>
    <pivotTable tabId="5" name="pvtqty"/>
  </pivotTables>
  <data>
    <tabular pivotCacheId="1798847731">
      <items count="5">
        <i x="0"/>
        <i x="3"/>
        <i x="4"/>
        <i x="2"/>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759C5B4F-A3B9-4C34-B9D9-4A1B9A4618E9}" sourceName="Gender Value">
  <pivotTables>
    <pivotTable tabId="5" name="pvtrating"/>
    <pivotTable tabId="5" name="Pvt trend"/>
    <pivotTable tabId="5" name="pvtduration"/>
    <pivotTable tabId="5" name="PVTmap"/>
    <pivotTable tabId="5" name="pvtqty"/>
  </pivotTables>
  <data>
    <tabular pivotCacheId="1798847731">
      <items count="4">
        <i x="2" s="1"/>
        <i x="1"/>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E79453E5-256B-4767-84AF-28898EB61D33}" cache="Slicer_Order_Mode" caption="Order Mode" rowHeight="251883"/>
  <slicer name="Gender Value" xr10:uid="{AED160B1-3023-40ED-9E7E-09C060919F80}" cache="Slicer_Gender_Value" caption="Gender Valu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76"/>
    <tableColumn id="7" xr3:uid="{43BB5DBF-46E1-4185-80C0-4361F55A385C}" name="Ship Date" dataDxfId="75"/>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74">
      <calculatedColumnFormula>orders[[#This Row],[Ship Date]]-orders[[#This Row],[Order Date]]</calculatedColumnFormula>
    </tableColumn>
    <tableColumn id="12" xr3:uid="{B071C0DA-87A9-4516-B4D9-4F5B7D3FF44A}" name="Weeknum" dataDxfId="73">
      <calculatedColumnFormula>WEEKNUM(orders[[#This Row],[Order Date]])</calculatedColumnFormula>
    </tableColumn>
    <tableColumn id="13" xr3:uid="{B8EA9E28-7541-4E76-9935-C26438661A18}" name="Gender Value" dataDxfId="72">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7EC135-D926-4063-A837-B35CC82F4EBA}" name="pvtmapqty" displayName="pvtmapqty" ref="F74:H134" totalsRowShown="0" headerRowDxfId="66" headerRowBorderDxfId="68">
  <autoFilter ref="F74:H134" xr:uid="{C37EC135-D926-4063-A837-B35CC82F4EBA}"/>
  <tableColumns count="3">
    <tableColumn id="1" xr3:uid="{AD2CF5F4-890C-4B67-82B8-772F220B5F77}" name="State" dataDxfId="67">
      <calculatedColumnFormula>IF(A75="","",A75)</calculatedColumnFormula>
    </tableColumn>
    <tableColumn id="2" xr3:uid="{A9C8144B-00D6-46CF-AEBB-0C2B7420FC69}" name="County">
      <calculatedColumnFormula>IF(B75="","",B75)</calculatedColumnFormula>
    </tableColumn>
    <tableColumn id="3" xr3:uid="{D4CD9E30-CD75-4296-A3B1-AEF3EF361BAD}" name="Sum of Quantity">
      <calculatedColumnFormula>IF(C75="","",C75)</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1419BFF-D15A-46F0-BDD6-90BB0A4496D5}" name="pvtqtyamt" displayName="pvtqtyamt" ref="J74:L132" totalsRowShown="0" headerRowDxfId="63" headerRowBorderDxfId="65">
  <autoFilter ref="J74:L132" xr:uid="{11419BFF-D15A-46F0-BDD6-90BB0A4496D5}"/>
  <tableColumns count="3">
    <tableColumn id="1" xr3:uid="{E741B121-6A97-45C1-BABA-36C13904C7B9}" name="State" dataDxfId="64">
      <calculatedColumnFormula>IF(A75="","",A75)</calculatedColumnFormula>
    </tableColumn>
    <tableColumn id="2" xr3:uid="{0570F835-2ED7-48A5-9C7F-5EC32F7159D2}" name="County">
      <calculatedColumnFormula>IF(B75="","",B75)</calculatedColumnFormula>
    </tableColumn>
    <tableColumn id="3" xr3:uid="{D92F0EB8-730F-46D2-8D04-AC0AD62E9EB5}" name="Sum of Amount">
      <calculatedColumnFormula>IF(D75="","",D75)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table" Target="../tables/table3.xml"/><Relationship Id="rId4" Type="http://schemas.openxmlformats.org/officeDocument/2006/relationships/pivotTable" Target="../pivotTables/pivotTable4.xml"/><Relationship Id="rId9"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chandoo.org/wp/excel-school-program/" TargetMode="External"/><Relationship Id="rId1" Type="http://schemas.openxmlformats.org/officeDocument/2006/relationships/hyperlink" Target="https://youtu.be/l5qkg8gzY6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B1" workbookViewId="0">
      <selection activeCell="O2" sqref="O2"/>
    </sheetView>
  </sheetViews>
  <sheetFormatPr defaultRowHeight="14.5" x14ac:dyDescent="0.35"/>
  <cols>
    <col min="2" max="2" width="19.08984375" bestFit="1" customWidth="1"/>
    <col min="3" max="3" width="8.08984375" bestFit="1" customWidth="1"/>
    <col min="4" max="4" width="9.08984375" bestFit="1" customWidth="1"/>
    <col min="5" max="5" width="7.453125" bestFit="1" customWidth="1"/>
    <col min="6" max="6" width="10" bestFit="1" customWidth="1"/>
    <col min="7" max="7" width="9.453125" bestFit="1" customWidth="1"/>
    <col min="8" max="8" width="15.6328125" bestFit="1" customWidth="1"/>
    <col min="9" max="9" width="10.6328125" bestFit="1" customWidth="1"/>
    <col min="10" max="10" width="7.81640625" bestFit="1" customWidth="1"/>
    <col min="11" max="11" width="8.81640625" bestFit="1" customWidth="1"/>
    <col min="12" max="12" width="19.6328125" bestFit="1" customWidth="1"/>
    <col min="13" max="13" width="13.36328125" bestFit="1" customWidth="1"/>
    <col min="14" max="14" width="9.36328125" bestFit="1" customWidth="1"/>
    <col min="15" max="15" width="12.08984375" bestFit="1" customWidth="1"/>
  </cols>
  <sheetData>
    <row r="1" spans="1:15" x14ac:dyDescent="0.35">
      <c r="A1" t="s">
        <v>0</v>
      </c>
      <c r="B1" t="s">
        <v>1</v>
      </c>
      <c r="C1" t="s">
        <v>2</v>
      </c>
      <c r="D1" t="s">
        <v>3</v>
      </c>
      <c r="E1" t="s">
        <v>4</v>
      </c>
      <c r="F1" t="s">
        <v>5</v>
      </c>
      <c r="G1" t="s">
        <v>6</v>
      </c>
      <c r="H1" t="s">
        <v>7</v>
      </c>
      <c r="I1" t="s">
        <v>8</v>
      </c>
      <c r="J1" t="s">
        <v>9</v>
      </c>
      <c r="K1" t="s">
        <v>10</v>
      </c>
      <c r="L1" t="s">
        <v>11</v>
      </c>
      <c r="M1" s="2" t="s">
        <v>12</v>
      </c>
      <c r="N1" s="2" t="s">
        <v>13</v>
      </c>
      <c r="O1" s="2" t="s">
        <v>14</v>
      </c>
    </row>
    <row r="2" spans="1:15" x14ac:dyDescent="0.3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E9" sqref="E9"/>
    </sheetView>
  </sheetViews>
  <sheetFormatPr defaultRowHeight="14.5" x14ac:dyDescent="0.35"/>
  <cols>
    <col min="1" max="1" width="3.6328125" customWidth="1"/>
    <col min="2" max="2" width="52.81640625" customWidth="1"/>
  </cols>
  <sheetData>
    <row r="2" spans="2:2" x14ac:dyDescent="0.35">
      <c r="B2" s="3" t="s">
        <v>2503</v>
      </c>
    </row>
    <row r="3" spans="2:2" x14ac:dyDescent="0.35">
      <c r="B3" s="4" t="s">
        <v>2504</v>
      </c>
    </row>
    <row r="4" spans="2:2" x14ac:dyDescent="0.35">
      <c r="B4" s="4" t="s">
        <v>2505</v>
      </c>
    </row>
    <row r="5" spans="2:2" x14ac:dyDescent="0.35">
      <c r="B5" s="4" t="s">
        <v>2506</v>
      </c>
    </row>
    <row r="6" spans="2:2" x14ac:dyDescent="0.35">
      <c r="B6" s="4" t="s">
        <v>2507</v>
      </c>
    </row>
    <row r="7" spans="2:2" x14ac:dyDescent="0.35">
      <c r="B7" s="4" t="s">
        <v>2508</v>
      </c>
    </row>
    <row r="10" spans="2:2" x14ac:dyDescent="0.35">
      <c r="B10" s="3" t="s">
        <v>2509</v>
      </c>
    </row>
    <row r="11" spans="2:2" x14ac:dyDescent="0.35">
      <c r="B11" t="s">
        <v>2510</v>
      </c>
    </row>
    <row r="12" spans="2:2" x14ac:dyDescent="0.35">
      <c r="B12" t="s">
        <v>2511</v>
      </c>
    </row>
    <row r="13" spans="2:2" x14ac:dyDescent="0.35">
      <c r="B13" t="s">
        <v>2512</v>
      </c>
    </row>
    <row r="14" spans="2:2" x14ac:dyDescent="0.35">
      <c r="B14" t="s">
        <v>2513</v>
      </c>
    </row>
    <row r="15" spans="2:2" x14ac:dyDescent="0.35">
      <c r="B15" t="s">
        <v>2514</v>
      </c>
    </row>
    <row r="16" spans="2:2" x14ac:dyDescent="0.35">
      <c r="B16" t="s">
        <v>2515</v>
      </c>
    </row>
    <row r="17" spans="2:2" x14ac:dyDescent="0.35">
      <c r="B17" t="s">
        <v>2516</v>
      </c>
    </row>
    <row r="18" spans="2:2" x14ac:dyDescent="0.35">
      <c r="B18" t="s">
        <v>2517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91A90-8D75-4C51-A6F1-F95B36B8AA60}">
  <dimension ref="A3:M159"/>
  <sheetViews>
    <sheetView zoomScaleNormal="100" workbookViewId="0">
      <selection activeCell="D4" sqref="D4"/>
    </sheetView>
  </sheetViews>
  <sheetFormatPr defaultRowHeight="14.5" x14ac:dyDescent="0.35"/>
  <cols>
    <col min="1" max="2" width="12.453125" bestFit="1" customWidth="1"/>
    <col min="3" max="3" width="14.26953125" bestFit="1" customWidth="1"/>
    <col min="4" max="4" width="13.6328125" bestFit="1" customWidth="1"/>
    <col min="5" max="5" width="3.81640625" bestFit="1" customWidth="1"/>
    <col min="6" max="6" width="2.81640625" bestFit="1" customWidth="1"/>
    <col min="7" max="7" width="10.36328125" bestFit="1" customWidth="1"/>
    <col min="8" max="8" width="19" bestFit="1" customWidth="1"/>
    <col min="9" max="9" width="6.26953125" bestFit="1" customWidth="1"/>
    <col min="10" max="10" width="9.26953125" bestFit="1" customWidth="1"/>
    <col min="11" max="11" width="19.81640625" bestFit="1" customWidth="1"/>
    <col min="12" max="12" width="15.54296875" customWidth="1"/>
    <col min="13" max="13" width="10.36328125" bestFit="1" customWidth="1"/>
    <col min="14" max="14" width="5.26953125" bestFit="1" customWidth="1"/>
    <col min="15" max="16" width="5.6328125" bestFit="1" customWidth="1"/>
    <col min="17" max="17" width="6.54296875" bestFit="1" customWidth="1"/>
    <col min="18" max="18" width="10.36328125" bestFit="1" customWidth="1"/>
    <col min="19" max="23" width="8.81640625" bestFit="1" customWidth="1"/>
    <col min="24" max="70" width="9.1796875" bestFit="1" customWidth="1"/>
    <col min="71" max="71" width="5.26953125" bestFit="1" customWidth="1"/>
    <col min="72" max="102" width="8.81640625" bestFit="1" customWidth="1"/>
    <col min="103" max="159" width="9.1796875" bestFit="1" customWidth="1"/>
    <col min="160" max="160" width="6.26953125" bestFit="1" customWidth="1"/>
    <col min="161" max="191" width="8.81640625" bestFit="1" customWidth="1"/>
    <col min="192" max="248" width="9.1796875" bestFit="1" customWidth="1"/>
    <col min="249" max="249" width="6.7265625" bestFit="1" customWidth="1"/>
    <col min="250" max="263" width="8.81640625" bestFit="1" customWidth="1"/>
    <col min="264" max="299" width="9.1796875" bestFit="1" customWidth="1"/>
    <col min="300" max="300" width="6.54296875" bestFit="1" customWidth="1"/>
    <col min="301" max="301" width="10.36328125" bestFit="1" customWidth="1"/>
  </cols>
  <sheetData>
    <row r="3" spans="1:11" x14ac:dyDescent="0.35">
      <c r="A3" t="s">
        <v>2552</v>
      </c>
      <c r="B3" t="s">
        <v>2553</v>
      </c>
      <c r="C3" t="s">
        <v>2554</v>
      </c>
      <c r="D3" t="s">
        <v>2555</v>
      </c>
      <c r="E3" t="s">
        <v>2556</v>
      </c>
      <c r="G3" t="s">
        <v>2557</v>
      </c>
    </row>
    <row r="4" spans="1:11" x14ac:dyDescent="0.35">
      <c r="A4">
        <v>2400</v>
      </c>
      <c r="B4">
        <v>11997</v>
      </c>
      <c r="C4">
        <v>649019.80000000144</v>
      </c>
      <c r="D4">
        <v>3.9620833333333332</v>
      </c>
      <c r="E4">
        <v>2.3424999999999998</v>
      </c>
      <c r="G4" t="s">
        <v>2538</v>
      </c>
      <c r="H4" t="s">
        <v>2558</v>
      </c>
      <c r="I4" t="s">
        <v>4</v>
      </c>
      <c r="J4" t="s">
        <v>2559</v>
      </c>
      <c r="K4" t="s">
        <v>2560</v>
      </c>
    </row>
    <row r="5" spans="1:11" x14ac:dyDescent="0.35">
      <c r="G5" t="str">
        <f>TEXT(A4,"#,##")</f>
        <v>2,400</v>
      </c>
      <c r="H5" t="str">
        <f>TEXT(B4,"#,##")</f>
        <v>11,997</v>
      </c>
      <c r="I5" t="str">
        <f>TEXT(C4,"$#,##,.0k")</f>
        <v>$649.0k</v>
      </c>
      <c r="J5" t="str">
        <f>TEXT(D4,"0.0")</f>
        <v>4.0</v>
      </c>
      <c r="K5" t="str">
        <f>TEXT(E4,"0.0")</f>
        <v>2.3</v>
      </c>
    </row>
    <row r="11" spans="1:11" x14ac:dyDescent="0.35">
      <c r="A11" s="14" t="s">
        <v>2565</v>
      </c>
      <c r="B11" t="s">
        <v>2553</v>
      </c>
      <c r="C11" s="17" t="s">
        <v>2554</v>
      </c>
    </row>
    <row r="12" spans="1:11" x14ac:dyDescent="0.35">
      <c r="A12" s="16">
        <v>1</v>
      </c>
      <c r="B12" s="26">
        <v>46</v>
      </c>
      <c r="C12" s="17">
        <v>2464.5</v>
      </c>
    </row>
    <row r="13" spans="1:11" x14ac:dyDescent="0.35">
      <c r="A13" s="16">
        <v>2</v>
      </c>
      <c r="B13" s="26">
        <v>123</v>
      </c>
      <c r="C13" s="17">
        <v>6640.8999999999987</v>
      </c>
    </row>
    <row r="14" spans="1:11" x14ac:dyDescent="0.35">
      <c r="A14" s="16">
        <v>3</v>
      </c>
      <c r="B14" s="26">
        <v>166</v>
      </c>
      <c r="C14" s="17">
        <v>11586.4</v>
      </c>
    </row>
    <row r="15" spans="1:11" x14ac:dyDescent="0.35">
      <c r="A15" s="16">
        <v>4</v>
      </c>
      <c r="B15" s="26">
        <v>106</v>
      </c>
      <c r="C15" s="17">
        <v>6299.0000000000009</v>
      </c>
    </row>
    <row r="16" spans="1:11" x14ac:dyDescent="0.35">
      <c r="A16" s="16">
        <v>5</v>
      </c>
      <c r="B16" s="26">
        <v>66</v>
      </c>
      <c r="C16" s="17">
        <v>3651.5</v>
      </c>
    </row>
    <row r="17" spans="1:3" x14ac:dyDescent="0.35">
      <c r="A17" s="16">
        <v>6</v>
      </c>
      <c r="B17" s="26">
        <v>103</v>
      </c>
      <c r="C17" s="17">
        <v>6947.5999999999995</v>
      </c>
    </row>
    <row r="18" spans="1:3" x14ac:dyDescent="0.35">
      <c r="A18" s="16">
        <v>7</v>
      </c>
      <c r="B18" s="26">
        <v>98</v>
      </c>
      <c r="C18" s="17">
        <v>5445.5</v>
      </c>
    </row>
    <row r="19" spans="1:3" x14ac:dyDescent="0.35">
      <c r="A19" s="16">
        <v>8</v>
      </c>
      <c r="B19" s="26">
        <v>100</v>
      </c>
      <c r="C19" s="17">
        <v>6602.9</v>
      </c>
    </row>
    <row r="20" spans="1:3" x14ac:dyDescent="0.35">
      <c r="A20" s="16">
        <v>9</v>
      </c>
      <c r="B20" s="26">
        <v>82</v>
      </c>
      <c r="C20" s="17">
        <v>5227.3999999999996</v>
      </c>
    </row>
    <row r="21" spans="1:3" x14ac:dyDescent="0.35">
      <c r="A21" s="16">
        <v>10</v>
      </c>
      <c r="B21" s="26">
        <v>105</v>
      </c>
      <c r="C21" s="17">
        <v>7823.9000000000015</v>
      </c>
    </row>
    <row r="22" spans="1:3" x14ac:dyDescent="0.35">
      <c r="A22" s="16">
        <v>11</v>
      </c>
      <c r="B22" s="26">
        <v>89</v>
      </c>
      <c r="C22" s="17">
        <v>5548.7</v>
      </c>
    </row>
    <row r="23" spans="1:3" x14ac:dyDescent="0.35">
      <c r="A23" s="16">
        <v>12</v>
      </c>
      <c r="B23" s="26">
        <v>123</v>
      </c>
      <c r="C23" s="17">
        <v>6268.2000000000007</v>
      </c>
    </row>
    <row r="24" spans="1:3" x14ac:dyDescent="0.35">
      <c r="A24" s="16">
        <v>13</v>
      </c>
      <c r="B24" s="26">
        <v>105</v>
      </c>
      <c r="C24" s="17">
        <v>6764.4000000000005</v>
      </c>
    </row>
    <row r="25" spans="1:3" x14ac:dyDescent="0.35">
      <c r="A25" s="16" t="s">
        <v>2566</v>
      </c>
      <c r="B25" s="26">
        <v>1312</v>
      </c>
      <c r="C25" s="17">
        <v>81270.899999999994</v>
      </c>
    </row>
    <row r="28" spans="1:3" x14ac:dyDescent="0.35">
      <c r="A28" s="14" t="s">
        <v>2565</v>
      </c>
      <c r="B28" t="s">
        <v>2552</v>
      </c>
    </row>
    <row r="29" spans="1:3" x14ac:dyDescent="0.35">
      <c r="A29" s="16">
        <v>1</v>
      </c>
      <c r="B29" s="26">
        <v>42</v>
      </c>
    </row>
    <row r="30" spans="1:3" x14ac:dyDescent="0.35">
      <c r="A30" s="16">
        <v>2</v>
      </c>
      <c r="B30" s="26">
        <v>71</v>
      </c>
    </row>
    <row r="31" spans="1:3" x14ac:dyDescent="0.35">
      <c r="A31" s="16">
        <v>3</v>
      </c>
      <c r="B31" s="26">
        <v>54</v>
      </c>
    </row>
    <row r="32" spans="1:3" x14ac:dyDescent="0.35">
      <c r="A32" s="16">
        <v>4</v>
      </c>
      <c r="B32" s="26">
        <v>33</v>
      </c>
    </row>
    <row r="33" spans="1:13" x14ac:dyDescent="0.35">
      <c r="A33" s="16">
        <v>5</v>
      </c>
      <c r="B33" s="26">
        <v>22</v>
      </c>
    </row>
    <row r="34" spans="1:13" x14ac:dyDescent="0.35">
      <c r="A34" s="16" t="s">
        <v>2570</v>
      </c>
      <c r="B34" s="26">
        <v>48</v>
      </c>
    </row>
    <row r="35" spans="1:13" x14ac:dyDescent="0.35">
      <c r="A35" s="16" t="s">
        <v>2569</v>
      </c>
      <c r="B35" s="26">
        <v>21</v>
      </c>
    </row>
    <row r="36" spans="1:13" x14ac:dyDescent="0.35">
      <c r="A36" s="16" t="s">
        <v>2566</v>
      </c>
      <c r="B36" s="26">
        <v>291</v>
      </c>
    </row>
    <row r="39" spans="1:13" x14ac:dyDescent="0.35">
      <c r="A39" s="14" t="s">
        <v>2553</v>
      </c>
      <c r="B39" s="14" t="s">
        <v>2567</v>
      </c>
    </row>
    <row r="40" spans="1:13" x14ac:dyDescent="0.35">
      <c r="A40" s="14" t="s">
        <v>2565</v>
      </c>
      <c r="C40" t="s">
        <v>27</v>
      </c>
      <c r="D40" t="s">
        <v>23</v>
      </c>
      <c r="E40" t="s">
        <v>89</v>
      </c>
      <c r="F40" t="s">
        <v>2566</v>
      </c>
      <c r="H40" s="12" t="s">
        <v>2565</v>
      </c>
      <c r="I40" s="12" t="s">
        <v>2561</v>
      </c>
      <c r="J40" s="25" t="s">
        <v>2563</v>
      </c>
      <c r="K40" s="25" t="s">
        <v>2562</v>
      </c>
      <c r="L40" s="25" t="s">
        <v>2564</v>
      </c>
      <c r="M40" s="12" t="s">
        <v>2566</v>
      </c>
    </row>
    <row r="41" spans="1:13" x14ac:dyDescent="0.35">
      <c r="A41" s="16" t="s">
        <v>44</v>
      </c>
      <c r="B41" s="26">
        <v>10</v>
      </c>
      <c r="C41" s="26">
        <v>157</v>
      </c>
      <c r="D41" s="26">
        <v>220</v>
      </c>
      <c r="E41" s="26">
        <v>12</v>
      </c>
      <c r="F41" s="26">
        <v>399</v>
      </c>
      <c r="H41" s="16" t="s">
        <v>44</v>
      </c>
      <c r="I41">
        <v>98</v>
      </c>
      <c r="J41">
        <v>744</v>
      </c>
      <c r="K41">
        <v>713</v>
      </c>
      <c r="L41">
        <v>90</v>
      </c>
      <c r="M41">
        <v>1645</v>
      </c>
    </row>
    <row r="42" spans="1:13" x14ac:dyDescent="0.35">
      <c r="A42" s="16" t="s">
        <v>39</v>
      </c>
      <c r="B42" s="26">
        <v>12</v>
      </c>
      <c r="C42" s="26">
        <v>175</v>
      </c>
      <c r="D42" s="26">
        <v>187</v>
      </c>
      <c r="E42" s="26">
        <v>8</v>
      </c>
      <c r="F42" s="26">
        <v>382</v>
      </c>
      <c r="H42" s="16" t="s">
        <v>39</v>
      </c>
      <c r="I42">
        <v>214</v>
      </c>
      <c r="J42">
        <v>716</v>
      </c>
      <c r="K42">
        <v>598</v>
      </c>
      <c r="L42">
        <v>18</v>
      </c>
      <c r="M42">
        <v>1546</v>
      </c>
    </row>
    <row r="43" spans="1:13" x14ac:dyDescent="0.35">
      <c r="A43" s="16" t="s">
        <v>26</v>
      </c>
      <c r="B43" s="26">
        <v>27</v>
      </c>
      <c r="C43" s="26">
        <v>177</v>
      </c>
      <c r="D43" s="26">
        <v>80</v>
      </c>
      <c r="E43" s="26"/>
      <c r="F43" s="26">
        <v>284</v>
      </c>
      <c r="H43" s="16" t="s">
        <v>26</v>
      </c>
      <c r="I43">
        <v>137</v>
      </c>
      <c r="J43">
        <v>627</v>
      </c>
      <c r="K43">
        <v>393</v>
      </c>
      <c r="L43">
        <v>29</v>
      </c>
      <c r="M43">
        <v>1186</v>
      </c>
    </row>
    <row r="44" spans="1:13" x14ac:dyDescent="0.35">
      <c r="A44" s="16" t="s">
        <v>22</v>
      </c>
      <c r="B44" s="26"/>
      <c r="C44" s="26">
        <v>146</v>
      </c>
      <c r="D44" s="26">
        <v>98</v>
      </c>
      <c r="E44" s="26">
        <v>6</v>
      </c>
      <c r="F44" s="26">
        <v>250</v>
      </c>
      <c r="H44" s="16" t="s">
        <v>22</v>
      </c>
      <c r="I44">
        <v>16</v>
      </c>
      <c r="J44">
        <v>568</v>
      </c>
      <c r="K44">
        <v>306</v>
      </c>
      <c r="L44">
        <v>22</v>
      </c>
      <c r="M44">
        <v>912</v>
      </c>
    </row>
    <row r="45" spans="1:13" x14ac:dyDescent="0.35">
      <c r="A45" s="16" t="s">
        <v>135</v>
      </c>
      <c r="B45" s="26"/>
      <c r="C45" s="26">
        <v>42</v>
      </c>
      <c r="D45" s="26">
        <v>82</v>
      </c>
      <c r="E45" s="26">
        <v>13</v>
      </c>
      <c r="F45" s="26">
        <v>137</v>
      </c>
      <c r="H45" s="16" t="s">
        <v>54</v>
      </c>
      <c r="I45">
        <v>22</v>
      </c>
      <c r="J45">
        <v>482</v>
      </c>
      <c r="K45">
        <v>295</v>
      </c>
      <c r="L45">
        <v>8</v>
      </c>
      <c r="M45">
        <v>807</v>
      </c>
    </row>
    <row r="46" spans="1:13" x14ac:dyDescent="0.35">
      <c r="A46" s="16" t="s">
        <v>32</v>
      </c>
      <c r="B46" s="26">
        <v>6</v>
      </c>
      <c r="C46" s="26">
        <v>72</v>
      </c>
      <c r="D46" s="26">
        <v>52</v>
      </c>
      <c r="E46" s="26"/>
      <c r="F46" s="26">
        <v>130</v>
      </c>
      <c r="H46" s="16" t="s">
        <v>16</v>
      </c>
      <c r="I46">
        <v>24</v>
      </c>
      <c r="J46">
        <v>428</v>
      </c>
      <c r="K46">
        <v>293</v>
      </c>
      <c r="M46">
        <v>745</v>
      </c>
    </row>
    <row r="47" spans="1:13" x14ac:dyDescent="0.35">
      <c r="A47" s="16" t="s">
        <v>16</v>
      </c>
      <c r="B47" s="26">
        <v>10</v>
      </c>
      <c r="C47" s="26">
        <v>68</v>
      </c>
      <c r="D47" s="26">
        <v>48</v>
      </c>
      <c r="E47" s="26"/>
      <c r="F47" s="26">
        <v>126</v>
      </c>
      <c r="H47" s="16" t="s">
        <v>46</v>
      </c>
      <c r="I47">
        <v>39</v>
      </c>
      <c r="J47">
        <v>445</v>
      </c>
      <c r="K47">
        <v>202</v>
      </c>
      <c r="L47">
        <v>14</v>
      </c>
      <c r="M47">
        <v>700</v>
      </c>
    </row>
    <row r="48" spans="1:13" x14ac:dyDescent="0.35">
      <c r="A48" s="16" t="s">
        <v>42</v>
      </c>
      <c r="B48" s="26"/>
      <c r="C48" s="26">
        <v>55</v>
      </c>
      <c r="D48" s="26">
        <v>54</v>
      </c>
      <c r="E48" s="26">
        <v>5</v>
      </c>
      <c r="F48" s="26">
        <v>114</v>
      </c>
      <c r="H48" s="16" t="s">
        <v>32</v>
      </c>
      <c r="I48">
        <v>15</v>
      </c>
      <c r="J48">
        <v>431</v>
      </c>
      <c r="K48">
        <v>187</v>
      </c>
      <c r="L48">
        <v>14</v>
      </c>
      <c r="M48">
        <v>647</v>
      </c>
    </row>
    <row r="49" spans="1:13" x14ac:dyDescent="0.35">
      <c r="A49" s="16" t="s">
        <v>37</v>
      </c>
      <c r="B49" s="26">
        <v>3</v>
      </c>
      <c r="C49" s="26">
        <v>53</v>
      </c>
      <c r="D49" s="26">
        <v>45</v>
      </c>
      <c r="E49" s="26">
        <v>6</v>
      </c>
      <c r="F49" s="26">
        <v>107</v>
      </c>
      <c r="H49" s="16" t="s">
        <v>42</v>
      </c>
      <c r="I49">
        <v>9</v>
      </c>
      <c r="J49">
        <v>264</v>
      </c>
      <c r="K49">
        <v>318</v>
      </c>
      <c r="L49">
        <v>15</v>
      </c>
      <c r="M49">
        <v>606</v>
      </c>
    </row>
    <row r="50" spans="1:13" x14ac:dyDescent="0.35">
      <c r="A50" s="16" t="s">
        <v>46</v>
      </c>
      <c r="B50" s="26">
        <v>17</v>
      </c>
      <c r="C50" s="26">
        <v>57</v>
      </c>
      <c r="D50" s="26">
        <v>31</v>
      </c>
      <c r="E50" s="26"/>
      <c r="F50" s="26">
        <v>105</v>
      </c>
      <c r="H50" s="16" t="s">
        <v>37</v>
      </c>
      <c r="I50">
        <v>23</v>
      </c>
      <c r="J50">
        <v>296</v>
      </c>
      <c r="K50">
        <v>275</v>
      </c>
      <c r="L50">
        <v>9</v>
      </c>
      <c r="M50">
        <v>603</v>
      </c>
    </row>
    <row r="51" spans="1:13" x14ac:dyDescent="0.35">
      <c r="A51" s="16" t="s">
        <v>54</v>
      </c>
      <c r="B51" s="26">
        <v>4</v>
      </c>
      <c r="C51" s="26">
        <v>57</v>
      </c>
      <c r="D51" s="26">
        <v>41</v>
      </c>
      <c r="E51" s="26"/>
      <c r="F51" s="26">
        <v>102</v>
      </c>
      <c r="H51" s="16" t="s">
        <v>123</v>
      </c>
      <c r="I51">
        <v>8</v>
      </c>
      <c r="J51">
        <v>153</v>
      </c>
      <c r="K51">
        <v>246</v>
      </c>
      <c r="L51">
        <v>30</v>
      </c>
      <c r="M51">
        <v>437</v>
      </c>
    </row>
    <row r="52" spans="1:13" x14ac:dyDescent="0.35">
      <c r="A52" s="16" t="s">
        <v>76</v>
      </c>
      <c r="B52" s="26">
        <v>6</v>
      </c>
      <c r="C52" s="26">
        <v>34</v>
      </c>
      <c r="D52" s="26">
        <v>50</v>
      </c>
      <c r="E52" s="26"/>
      <c r="F52" s="26">
        <v>90</v>
      </c>
      <c r="H52" s="16" t="s">
        <v>146</v>
      </c>
      <c r="I52">
        <v>31</v>
      </c>
      <c r="J52">
        <v>189</v>
      </c>
      <c r="K52">
        <v>168</v>
      </c>
      <c r="L52">
        <v>10</v>
      </c>
      <c r="M52">
        <v>398</v>
      </c>
    </row>
    <row r="53" spans="1:13" x14ac:dyDescent="0.35">
      <c r="A53" s="16" t="s">
        <v>67</v>
      </c>
      <c r="B53" s="26"/>
      <c r="C53" s="26">
        <v>53</v>
      </c>
      <c r="D53" s="26">
        <v>34</v>
      </c>
      <c r="E53" s="26"/>
      <c r="F53" s="26">
        <v>87</v>
      </c>
      <c r="H53" s="16" t="s">
        <v>69</v>
      </c>
      <c r="I53">
        <v>24</v>
      </c>
      <c r="J53">
        <v>234</v>
      </c>
      <c r="K53">
        <v>93</v>
      </c>
      <c r="L53">
        <v>19</v>
      </c>
      <c r="M53">
        <v>370</v>
      </c>
    </row>
    <row r="54" spans="1:13" x14ac:dyDescent="0.35">
      <c r="A54" s="16" t="s">
        <v>69</v>
      </c>
      <c r="B54" s="26">
        <v>10</v>
      </c>
      <c r="C54" s="26">
        <v>42</v>
      </c>
      <c r="D54" s="26">
        <v>29</v>
      </c>
      <c r="E54" s="26">
        <v>4</v>
      </c>
      <c r="F54" s="26">
        <v>85</v>
      </c>
      <c r="H54" s="16" t="s">
        <v>30</v>
      </c>
      <c r="I54">
        <v>28</v>
      </c>
      <c r="J54">
        <v>146</v>
      </c>
      <c r="K54">
        <v>94</v>
      </c>
      <c r="L54">
        <v>4</v>
      </c>
      <c r="M54">
        <v>272</v>
      </c>
    </row>
    <row r="55" spans="1:13" x14ac:dyDescent="0.35">
      <c r="A55" s="16" t="s">
        <v>123</v>
      </c>
      <c r="B55" s="26">
        <v>2</v>
      </c>
      <c r="C55" s="26">
        <v>31</v>
      </c>
      <c r="D55" s="26">
        <v>26</v>
      </c>
      <c r="E55" s="26">
        <v>15</v>
      </c>
      <c r="F55" s="26">
        <v>74</v>
      </c>
      <c r="H55" s="16" t="s">
        <v>135</v>
      </c>
      <c r="I55">
        <v>12</v>
      </c>
      <c r="J55">
        <v>127</v>
      </c>
      <c r="K55">
        <v>118</v>
      </c>
      <c r="L55">
        <v>13</v>
      </c>
      <c r="M55">
        <v>270</v>
      </c>
    </row>
    <row r="56" spans="1:13" x14ac:dyDescent="0.35">
      <c r="A56" s="16" t="s">
        <v>30</v>
      </c>
      <c r="B56" s="26">
        <v>7</v>
      </c>
      <c r="C56" s="26">
        <v>44</v>
      </c>
      <c r="D56" s="26">
        <v>14</v>
      </c>
      <c r="E56" s="26"/>
      <c r="F56" s="26">
        <v>65</v>
      </c>
      <c r="H56" s="16" t="s">
        <v>67</v>
      </c>
      <c r="J56">
        <v>179</v>
      </c>
      <c r="K56">
        <v>76</v>
      </c>
      <c r="L56">
        <v>3</v>
      </c>
      <c r="M56">
        <v>258</v>
      </c>
    </row>
    <row r="57" spans="1:13" x14ac:dyDescent="0.35">
      <c r="A57" s="16" t="s">
        <v>146</v>
      </c>
      <c r="B57" s="26">
        <v>5</v>
      </c>
      <c r="C57" s="26">
        <v>11</v>
      </c>
      <c r="D57" s="26">
        <v>20</v>
      </c>
      <c r="E57" s="26">
        <v>3</v>
      </c>
      <c r="F57" s="26">
        <v>39</v>
      </c>
      <c r="H57" s="16" t="s">
        <v>128</v>
      </c>
      <c r="I57">
        <v>24</v>
      </c>
      <c r="J57">
        <v>99</v>
      </c>
      <c r="K57">
        <v>69</v>
      </c>
      <c r="L57">
        <v>3</v>
      </c>
      <c r="M57">
        <v>195</v>
      </c>
    </row>
    <row r="58" spans="1:13" x14ac:dyDescent="0.35">
      <c r="A58" s="16" t="s">
        <v>128</v>
      </c>
      <c r="B58" s="26">
        <v>15</v>
      </c>
      <c r="C58" s="26">
        <v>13</v>
      </c>
      <c r="D58" s="26">
        <v>9</v>
      </c>
      <c r="E58" s="26"/>
      <c r="F58" s="26">
        <v>37</v>
      </c>
      <c r="H58" s="16" t="s">
        <v>76</v>
      </c>
      <c r="I58">
        <v>6</v>
      </c>
      <c r="J58">
        <v>75</v>
      </c>
      <c r="K58">
        <v>103</v>
      </c>
      <c r="L58">
        <v>4</v>
      </c>
      <c r="M58">
        <v>188</v>
      </c>
    </row>
    <row r="59" spans="1:13" x14ac:dyDescent="0.35">
      <c r="A59" s="16" t="s">
        <v>81</v>
      </c>
      <c r="B59" s="26"/>
      <c r="C59" s="26">
        <v>16</v>
      </c>
      <c r="D59" s="26">
        <v>16</v>
      </c>
      <c r="E59" s="26"/>
      <c r="F59" s="26">
        <v>32</v>
      </c>
      <c r="H59" s="16" t="s">
        <v>81</v>
      </c>
      <c r="I59">
        <v>6</v>
      </c>
      <c r="J59">
        <v>43</v>
      </c>
      <c r="K59">
        <v>90</v>
      </c>
      <c r="L59">
        <v>8</v>
      </c>
      <c r="M59">
        <v>147</v>
      </c>
    </row>
    <row r="60" spans="1:13" x14ac:dyDescent="0.35">
      <c r="A60" s="16" t="s">
        <v>171</v>
      </c>
      <c r="B60" s="26"/>
      <c r="C60" s="26">
        <v>9</v>
      </c>
      <c r="D60" s="26">
        <v>12</v>
      </c>
      <c r="E60" s="26"/>
      <c r="F60" s="26">
        <v>21</v>
      </c>
      <c r="H60" s="16" t="s">
        <v>171</v>
      </c>
      <c r="J60">
        <v>26</v>
      </c>
      <c r="K60">
        <v>35</v>
      </c>
      <c r="L60">
        <v>4</v>
      </c>
      <c r="M60">
        <v>65</v>
      </c>
    </row>
    <row r="61" spans="1:13" x14ac:dyDescent="0.35">
      <c r="A61" s="16" t="s">
        <v>2566</v>
      </c>
      <c r="B61" s="26">
        <v>134</v>
      </c>
      <c r="C61" s="26">
        <v>1312</v>
      </c>
      <c r="D61" s="26">
        <v>1148</v>
      </c>
      <c r="E61" s="26">
        <v>72</v>
      </c>
      <c r="F61" s="26">
        <v>2666</v>
      </c>
      <c r="H61" s="23" t="s">
        <v>2566</v>
      </c>
      <c r="I61" s="24">
        <v>736</v>
      </c>
      <c r="J61" s="24">
        <v>6272</v>
      </c>
      <c r="K61" s="24">
        <v>4672</v>
      </c>
      <c r="L61" s="24">
        <v>317</v>
      </c>
      <c r="M61" s="24">
        <v>11997</v>
      </c>
    </row>
    <row r="65" spans="1:12" x14ac:dyDescent="0.35">
      <c r="A65" s="14" t="s">
        <v>2565</v>
      </c>
      <c r="B65" t="s">
        <v>2553</v>
      </c>
      <c r="F65" t="s">
        <v>2571</v>
      </c>
      <c r="G65" t="s">
        <v>2553</v>
      </c>
    </row>
    <row r="66" spans="1:12" x14ac:dyDescent="0.35">
      <c r="A66" s="16"/>
      <c r="B66" s="26">
        <v>134</v>
      </c>
      <c r="F66" s="16" t="s">
        <v>2561</v>
      </c>
      <c r="G66">
        <v>736</v>
      </c>
    </row>
    <row r="67" spans="1:12" x14ac:dyDescent="0.35">
      <c r="A67" s="16" t="s">
        <v>27</v>
      </c>
      <c r="B67" s="26">
        <v>1312</v>
      </c>
      <c r="F67" s="16" t="s">
        <v>2563</v>
      </c>
      <c r="G67">
        <v>6272</v>
      </c>
    </row>
    <row r="68" spans="1:12" x14ac:dyDescent="0.35">
      <c r="A68" s="16" t="s">
        <v>23</v>
      </c>
      <c r="B68" s="26">
        <v>1148</v>
      </c>
      <c r="F68" s="16" t="s">
        <v>2562</v>
      </c>
      <c r="G68">
        <v>4672</v>
      </c>
    </row>
    <row r="69" spans="1:12" x14ac:dyDescent="0.35">
      <c r="A69" s="16" t="s">
        <v>89</v>
      </c>
      <c r="B69" s="26">
        <v>72</v>
      </c>
      <c r="F69" s="16" t="s">
        <v>2564</v>
      </c>
      <c r="G69">
        <v>317</v>
      </c>
    </row>
    <row r="70" spans="1:12" x14ac:dyDescent="0.35">
      <c r="A70" s="16" t="s">
        <v>2566</v>
      </c>
      <c r="B70" s="26">
        <v>2666</v>
      </c>
      <c r="F70" s="16" t="s">
        <v>2566</v>
      </c>
      <c r="G70">
        <f>SUM(G66:G69)</f>
        <v>11997</v>
      </c>
    </row>
    <row r="74" spans="1:12" x14ac:dyDescent="0.35">
      <c r="A74" s="14" t="s">
        <v>10</v>
      </c>
      <c r="B74" s="14" t="s">
        <v>11</v>
      </c>
      <c r="C74" t="s">
        <v>2553</v>
      </c>
      <c r="D74" t="s">
        <v>2554</v>
      </c>
      <c r="F74" s="12" t="s">
        <v>10</v>
      </c>
      <c r="G74" s="12" t="s">
        <v>11</v>
      </c>
      <c r="H74" s="12" t="s">
        <v>2553</v>
      </c>
      <c r="J74" s="12" t="s">
        <v>10</v>
      </c>
      <c r="K74" s="12" t="s">
        <v>11</v>
      </c>
      <c r="L74" s="12" t="s">
        <v>2554</v>
      </c>
    </row>
    <row r="75" spans="1:12" x14ac:dyDescent="0.35">
      <c r="A75" t="s">
        <v>19</v>
      </c>
      <c r="B75" t="s">
        <v>115</v>
      </c>
      <c r="C75" s="26">
        <v>62</v>
      </c>
      <c r="D75" s="26">
        <v>3186.2</v>
      </c>
      <c r="F75" s="15" t="str">
        <f>IF(A75="","",A75)</f>
        <v>California</v>
      </c>
      <c r="G75" s="15" t="str">
        <f t="shared" ref="G75:H90" si="0">IF(B75="","",B75)</f>
        <v>Alameda County</v>
      </c>
      <c r="H75" s="15">
        <f t="shared" si="0"/>
        <v>62</v>
      </c>
      <c r="J75" s="15" t="str">
        <f>IF(A75="","",A75)</f>
        <v>California</v>
      </c>
      <c r="K75" s="15" t="str">
        <f>IF(B75="","",B75)</f>
        <v>Alameda County</v>
      </c>
      <c r="L75">
        <f>IF(D75="","",D75)</f>
        <v>3186.2</v>
      </c>
    </row>
    <row r="76" spans="1:12" x14ac:dyDescent="0.35">
      <c r="A76" t="s">
        <v>19</v>
      </c>
      <c r="B76" t="s">
        <v>967</v>
      </c>
      <c r="C76" s="26">
        <v>12</v>
      </c>
      <c r="D76" s="26">
        <v>352.79999999999995</v>
      </c>
      <c r="F76" s="15" t="str">
        <f t="shared" ref="F76:H132" si="1">IF(A76="","",A76)</f>
        <v>California</v>
      </c>
      <c r="G76" s="15" t="str">
        <f t="shared" si="0"/>
        <v>Butte County</v>
      </c>
      <c r="H76" s="15">
        <f t="shared" si="0"/>
        <v>12</v>
      </c>
      <c r="J76" s="15" t="str">
        <f t="shared" ref="J76:J132" si="2">IF(A76="","",A76)</f>
        <v>California</v>
      </c>
      <c r="K76" s="15" t="str">
        <f t="shared" ref="K76:K132" si="3">IF(B76="","",B76)</f>
        <v>Butte County</v>
      </c>
      <c r="L76">
        <f t="shared" ref="L76:L132" si="4">IF(D76="","",D76)</f>
        <v>352.79999999999995</v>
      </c>
    </row>
    <row r="77" spans="1:12" x14ac:dyDescent="0.35">
      <c r="A77" t="s">
        <v>19</v>
      </c>
      <c r="B77" t="s">
        <v>24</v>
      </c>
      <c r="C77" s="26">
        <v>28</v>
      </c>
      <c r="D77" s="26">
        <v>2135.5</v>
      </c>
      <c r="F77" s="15" t="str">
        <f t="shared" si="1"/>
        <v>California</v>
      </c>
      <c r="G77" s="15" t="str">
        <f t="shared" si="0"/>
        <v>Contra Costa County</v>
      </c>
      <c r="H77" s="15">
        <f t="shared" si="0"/>
        <v>28</v>
      </c>
      <c r="J77" s="15" t="str">
        <f t="shared" si="2"/>
        <v>California</v>
      </c>
      <c r="K77" s="15" t="str">
        <f t="shared" si="3"/>
        <v>Contra Costa County</v>
      </c>
      <c r="L77">
        <f t="shared" si="4"/>
        <v>2135.5</v>
      </c>
    </row>
    <row r="78" spans="1:12" x14ac:dyDescent="0.35">
      <c r="A78" t="s">
        <v>19</v>
      </c>
      <c r="B78" t="s">
        <v>28</v>
      </c>
      <c r="C78" s="26">
        <v>23</v>
      </c>
      <c r="D78" s="26">
        <v>1717.1</v>
      </c>
      <c r="F78" s="15" t="str">
        <f t="shared" si="1"/>
        <v>California</v>
      </c>
      <c r="G78" s="15" t="str">
        <f t="shared" si="0"/>
        <v>Fresno County</v>
      </c>
      <c r="H78" s="15">
        <f t="shared" si="0"/>
        <v>23</v>
      </c>
      <c r="J78" s="15" t="str">
        <f t="shared" si="2"/>
        <v>California</v>
      </c>
      <c r="K78" s="15" t="str">
        <f t="shared" si="3"/>
        <v>Fresno County</v>
      </c>
      <c r="L78">
        <f t="shared" si="4"/>
        <v>1717.1</v>
      </c>
    </row>
    <row r="79" spans="1:12" x14ac:dyDescent="0.35">
      <c r="A79" t="s">
        <v>19</v>
      </c>
      <c r="B79" t="s">
        <v>587</v>
      </c>
      <c r="C79" s="26">
        <v>3</v>
      </c>
      <c r="D79" s="26">
        <v>227.39999999999998</v>
      </c>
      <c r="F79" s="15" t="str">
        <f t="shared" si="1"/>
        <v>California</v>
      </c>
      <c r="G79" s="15" t="str">
        <f t="shared" si="0"/>
        <v>Humboldt County</v>
      </c>
      <c r="H79" s="15">
        <f t="shared" si="0"/>
        <v>3</v>
      </c>
      <c r="J79" s="15" t="str">
        <f t="shared" si="2"/>
        <v>California</v>
      </c>
      <c r="K79" s="15" t="str">
        <f t="shared" si="3"/>
        <v>Humboldt County</v>
      </c>
      <c r="L79">
        <f t="shared" si="4"/>
        <v>227.39999999999998</v>
      </c>
    </row>
    <row r="80" spans="1:12" x14ac:dyDescent="0.35">
      <c r="A80" t="s">
        <v>19</v>
      </c>
      <c r="B80" t="s">
        <v>331</v>
      </c>
      <c r="C80" s="26">
        <v>1</v>
      </c>
      <c r="D80" s="26">
        <v>22.1</v>
      </c>
      <c r="F80" s="15" t="str">
        <f t="shared" si="1"/>
        <v>California</v>
      </c>
      <c r="G80" s="15" t="str">
        <f t="shared" si="0"/>
        <v>Imperial County</v>
      </c>
      <c r="H80" s="15">
        <f t="shared" si="0"/>
        <v>1</v>
      </c>
      <c r="J80" s="15" t="str">
        <f t="shared" si="2"/>
        <v>California</v>
      </c>
      <c r="K80" s="15" t="str">
        <f t="shared" si="3"/>
        <v>Imperial County</v>
      </c>
      <c r="L80">
        <f t="shared" si="4"/>
        <v>22.1</v>
      </c>
    </row>
    <row r="81" spans="1:12" x14ac:dyDescent="0.35">
      <c r="A81" t="s">
        <v>19</v>
      </c>
      <c r="B81" t="s">
        <v>147</v>
      </c>
      <c r="C81" s="26">
        <v>41</v>
      </c>
      <c r="D81" s="26">
        <v>1808.6</v>
      </c>
      <c r="F81" s="15" t="str">
        <f t="shared" si="1"/>
        <v>California</v>
      </c>
      <c r="G81" s="15" t="str">
        <f t="shared" si="0"/>
        <v>Kern County</v>
      </c>
      <c r="H81" s="15">
        <f t="shared" si="0"/>
        <v>41</v>
      </c>
      <c r="J81" s="15" t="str">
        <f t="shared" si="2"/>
        <v>California</v>
      </c>
      <c r="K81" s="15" t="str">
        <f t="shared" si="3"/>
        <v>Kern County</v>
      </c>
      <c r="L81">
        <f t="shared" si="4"/>
        <v>1808.6</v>
      </c>
    </row>
    <row r="82" spans="1:12" x14ac:dyDescent="0.35">
      <c r="A82" t="s">
        <v>19</v>
      </c>
      <c r="B82" t="s">
        <v>334</v>
      </c>
      <c r="C82" s="26">
        <v>5</v>
      </c>
      <c r="D82" s="26">
        <v>204.6</v>
      </c>
      <c r="F82" s="15" t="str">
        <f t="shared" si="1"/>
        <v>California</v>
      </c>
      <c r="G82" s="15" t="str">
        <f t="shared" si="0"/>
        <v>Kings County</v>
      </c>
      <c r="H82" s="15">
        <f t="shared" si="0"/>
        <v>5</v>
      </c>
      <c r="J82" s="15" t="str">
        <f t="shared" si="2"/>
        <v>California</v>
      </c>
      <c r="K82" s="15" t="str">
        <f t="shared" si="3"/>
        <v>Kings County</v>
      </c>
      <c r="L82">
        <f t="shared" si="4"/>
        <v>204.6</v>
      </c>
    </row>
    <row r="83" spans="1:12" x14ac:dyDescent="0.35">
      <c r="A83" t="s">
        <v>19</v>
      </c>
      <c r="B83" t="s">
        <v>949</v>
      </c>
      <c r="C83" s="26">
        <v>7</v>
      </c>
      <c r="D83" s="26">
        <v>543.9</v>
      </c>
      <c r="F83" s="15" t="str">
        <f t="shared" si="1"/>
        <v>California</v>
      </c>
      <c r="G83" s="15" t="str">
        <f t="shared" si="0"/>
        <v>Lake County</v>
      </c>
      <c r="H83" s="15">
        <f t="shared" si="0"/>
        <v>7</v>
      </c>
      <c r="J83" s="15" t="str">
        <f t="shared" si="2"/>
        <v>California</v>
      </c>
      <c r="K83" s="15" t="str">
        <f t="shared" si="3"/>
        <v>Lake County</v>
      </c>
      <c r="L83">
        <f t="shared" si="4"/>
        <v>543.9</v>
      </c>
    </row>
    <row r="84" spans="1:12" x14ac:dyDescent="0.35">
      <c r="A84" t="s">
        <v>19</v>
      </c>
      <c r="B84" t="s">
        <v>33</v>
      </c>
      <c r="C84" s="26">
        <v>406</v>
      </c>
      <c r="D84" s="26">
        <v>26468.200000000015</v>
      </c>
      <c r="F84" s="15" t="str">
        <f t="shared" si="1"/>
        <v>California</v>
      </c>
      <c r="G84" s="15" t="str">
        <f t="shared" si="0"/>
        <v>Los Angeles County</v>
      </c>
      <c r="H84" s="15">
        <f t="shared" si="0"/>
        <v>406</v>
      </c>
      <c r="J84" s="15" t="str">
        <f t="shared" si="2"/>
        <v>California</v>
      </c>
      <c r="K84" s="15" t="str">
        <f t="shared" si="3"/>
        <v>Los Angeles County</v>
      </c>
      <c r="L84">
        <f t="shared" si="4"/>
        <v>26468.200000000015</v>
      </c>
    </row>
    <row r="85" spans="1:12" x14ac:dyDescent="0.35">
      <c r="A85" t="s">
        <v>19</v>
      </c>
      <c r="B85" t="s">
        <v>364</v>
      </c>
      <c r="C85" s="26">
        <v>6</v>
      </c>
      <c r="D85" s="26">
        <v>489.59999999999997</v>
      </c>
      <c r="F85" s="15" t="str">
        <f t="shared" si="1"/>
        <v>California</v>
      </c>
      <c r="G85" s="15" t="str">
        <f t="shared" si="0"/>
        <v>Madera County</v>
      </c>
      <c r="H85" s="15">
        <f t="shared" si="0"/>
        <v>6</v>
      </c>
      <c r="J85" s="15" t="str">
        <f t="shared" si="2"/>
        <v>California</v>
      </c>
      <c r="K85" s="15" t="str">
        <f t="shared" si="3"/>
        <v>Madera County</v>
      </c>
      <c r="L85">
        <f t="shared" si="4"/>
        <v>489.59999999999997</v>
      </c>
    </row>
    <row r="86" spans="1:12" x14ac:dyDescent="0.35">
      <c r="A86" t="s">
        <v>19</v>
      </c>
      <c r="B86" t="s">
        <v>545</v>
      </c>
      <c r="C86" s="26">
        <v>3</v>
      </c>
      <c r="D86" s="26">
        <v>132.30000000000001</v>
      </c>
      <c r="F86" s="15" t="str">
        <f t="shared" si="1"/>
        <v>California</v>
      </c>
      <c r="G86" s="15" t="str">
        <f t="shared" si="0"/>
        <v>Marin County</v>
      </c>
      <c r="H86" s="15">
        <f t="shared" si="0"/>
        <v>3</v>
      </c>
      <c r="J86" s="15" t="str">
        <f t="shared" si="2"/>
        <v>California</v>
      </c>
      <c r="K86" s="15" t="str">
        <f t="shared" si="3"/>
        <v>Marin County</v>
      </c>
      <c r="L86">
        <f t="shared" si="4"/>
        <v>132.30000000000001</v>
      </c>
    </row>
    <row r="87" spans="1:12" x14ac:dyDescent="0.35">
      <c r="A87" t="s">
        <v>19</v>
      </c>
      <c r="B87" t="s">
        <v>258</v>
      </c>
      <c r="C87" s="26">
        <v>6</v>
      </c>
      <c r="D87" s="26">
        <v>101.4</v>
      </c>
      <c r="F87" s="15" t="str">
        <f t="shared" si="1"/>
        <v>California</v>
      </c>
      <c r="G87" s="15" t="str">
        <f t="shared" si="0"/>
        <v>Mendocino County</v>
      </c>
      <c r="H87" s="15">
        <f t="shared" si="0"/>
        <v>6</v>
      </c>
      <c r="J87" s="15" t="str">
        <f t="shared" si="2"/>
        <v>California</v>
      </c>
      <c r="K87" s="15" t="str">
        <f t="shared" si="3"/>
        <v>Mendocino County</v>
      </c>
      <c r="L87">
        <f t="shared" si="4"/>
        <v>101.4</v>
      </c>
    </row>
    <row r="88" spans="1:12" x14ac:dyDescent="0.35">
      <c r="A88" t="s">
        <v>19</v>
      </c>
      <c r="B88" t="s">
        <v>186</v>
      </c>
      <c r="C88" s="26">
        <v>2</v>
      </c>
      <c r="D88" s="26">
        <v>23.2</v>
      </c>
      <c r="F88" s="15" t="str">
        <f t="shared" si="1"/>
        <v>California</v>
      </c>
      <c r="G88" s="15" t="str">
        <f t="shared" si="0"/>
        <v>Merced County</v>
      </c>
      <c r="H88" s="15">
        <f t="shared" si="0"/>
        <v>2</v>
      </c>
      <c r="J88" s="15" t="str">
        <f t="shared" si="2"/>
        <v>California</v>
      </c>
      <c r="K88" s="15" t="str">
        <f t="shared" si="3"/>
        <v>Merced County</v>
      </c>
      <c r="L88">
        <f t="shared" si="4"/>
        <v>23.2</v>
      </c>
    </row>
    <row r="89" spans="1:12" x14ac:dyDescent="0.35">
      <c r="A89" t="s">
        <v>19</v>
      </c>
      <c r="B89" t="s">
        <v>802</v>
      </c>
      <c r="C89" s="26">
        <v>1</v>
      </c>
      <c r="D89" s="26">
        <v>39.299999999999997</v>
      </c>
      <c r="F89" s="15" t="str">
        <f t="shared" si="1"/>
        <v>California</v>
      </c>
      <c r="G89" s="15" t="str">
        <f t="shared" si="0"/>
        <v>Monterey County</v>
      </c>
      <c r="H89" s="15">
        <f t="shared" si="0"/>
        <v>1</v>
      </c>
      <c r="J89" s="15" t="str">
        <f t="shared" si="2"/>
        <v>California</v>
      </c>
      <c r="K89" s="15" t="str">
        <f t="shared" si="3"/>
        <v>Monterey County</v>
      </c>
      <c r="L89">
        <f t="shared" si="4"/>
        <v>39.299999999999997</v>
      </c>
    </row>
    <row r="90" spans="1:12" x14ac:dyDescent="0.35">
      <c r="A90" t="s">
        <v>19</v>
      </c>
      <c r="B90" t="s">
        <v>98</v>
      </c>
      <c r="C90" s="26">
        <v>19</v>
      </c>
      <c r="D90" s="26">
        <v>3005.7999999999997</v>
      </c>
      <c r="F90" s="15" t="str">
        <f t="shared" si="1"/>
        <v>California</v>
      </c>
      <c r="G90" s="15" t="str">
        <f t="shared" si="0"/>
        <v>Napa County</v>
      </c>
      <c r="H90" s="15">
        <f t="shared" si="0"/>
        <v>19</v>
      </c>
      <c r="J90" s="15" t="str">
        <f t="shared" si="2"/>
        <v>California</v>
      </c>
      <c r="K90" s="15" t="str">
        <f t="shared" si="3"/>
        <v>Napa County</v>
      </c>
      <c r="L90">
        <f t="shared" si="4"/>
        <v>3005.7999999999997</v>
      </c>
    </row>
    <row r="91" spans="1:12" x14ac:dyDescent="0.35">
      <c r="A91" t="s">
        <v>19</v>
      </c>
      <c r="B91" t="s">
        <v>49</v>
      </c>
      <c r="C91" s="26">
        <v>9</v>
      </c>
      <c r="D91" s="26">
        <v>1060.5999999999999</v>
      </c>
      <c r="F91" s="15" t="str">
        <f t="shared" si="1"/>
        <v>California</v>
      </c>
      <c r="G91" s="15" t="str">
        <f t="shared" si="1"/>
        <v>Nevada County</v>
      </c>
      <c r="H91" s="15">
        <f t="shared" si="1"/>
        <v>9</v>
      </c>
      <c r="J91" s="15" t="str">
        <f t="shared" si="2"/>
        <v>California</v>
      </c>
      <c r="K91" s="15" t="str">
        <f t="shared" si="3"/>
        <v>Nevada County</v>
      </c>
      <c r="L91">
        <f t="shared" si="4"/>
        <v>1060.5999999999999</v>
      </c>
    </row>
    <row r="92" spans="1:12" x14ac:dyDescent="0.35">
      <c r="A92" t="s">
        <v>19</v>
      </c>
      <c r="B92" t="s">
        <v>188</v>
      </c>
      <c r="C92" s="26">
        <v>11</v>
      </c>
      <c r="D92" s="26">
        <v>577.29999999999995</v>
      </c>
      <c r="F92" s="15" t="str">
        <f t="shared" si="1"/>
        <v>California</v>
      </c>
      <c r="G92" s="15" t="str">
        <f t="shared" si="1"/>
        <v>Orange County</v>
      </c>
      <c r="H92" s="15">
        <f t="shared" si="1"/>
        <v>11</v>
      </c>
      <c r="J92" s="15" t="str">
        <f t="shared" si="2"/>
        <v>California</v>
      </c>
      <c r="K92" s="15" t="str">
        <f t="shared" si="3"/>
        <v>Orange County</v>
      </c>
      <c r="L92">
        <f t="shared" si="4"/>
        <v>577.29999999999995</v>
      </c>
    </row>
    <row r="93" spans="1:12" x14ac:dyDescent="0.35">
      <c r="A93" t="s">
        <v>19</v>
      </c>
      <c r="B93" t="s">
        <v>52</v>
      </c>
      <c r="C93" s="26">
        <v>17</v>
      </c>
      <c r="D93" s="26">
        <v>985.8</v>
      </c>
      <c r="F93" s="15" t="str">
        <f t="shared" si="1"/>
        <v>California</v>
      </c>
      <c r="G93" s="15" t="str">
        <f t="shared" si="1"/>
        <v>Placer County</v>
      </c>
      <c r="H93" s="15">
        <f t="shared" si="1"/>
        <v>17</v>
      </c>
      <c r="J93" s="15" t="str">
        <f t="shared" si="2"/>
        <v>California</v>
      </c>
      <c r="K93" s="15" t="str">
        <f t="shared" si="3"/>
        <v>Placer County</v>
      </c>
      <c r="L93">
        <f t="shared" si="4"/>
        <v>985.8</v>
      </c>
    </row>
    <row r="94" spans="1:12" x14ac:dyDescent="0.35">
      <c r="A94" t="s">
        <v>19</v>
      </c>
      <c r="B94" t="s">
        <v>158</v>
      </c>
      <c r="C94" s="26">
        <v>10</v>
      </c>
      <c r="D94" s="26">
        <v>461.4</v>
      </c>
      <c r="F94" s="15" t="str">
        <f t="shared" si="1"/>
        <v>California</v>
      </c>
      <c r="G94" s="15" t="str">
        <f t="shared" si="1"/>
        <v>Riverside County</v>
      </c>
      <c r="H94" s="15">
        <f t="shared" si="1"/>
        <v>10</v>
      </c>
      <c r="J94" s="15" t="str">
        <f t="shared" si="2"/>
        <v>California</v>
      </c>
      <c r="K94" s="15" t="str">
        <f t="shared" si="3"/>
        <v>Riverside County</v>
      </c>
      <c r="L94">
        <f t="shared" si="4"/>
        <v>461.4</v>
      </c>
    </row>
    <row r="95" spans="1:12" x14ac:dyDescent="0.35">
      <c r="A95" t="s">
        <v>19</v>
      </c>
      <c r="B95" t="s">
        <v>55</v>
      </c>
      <c r="C95" s="26">
        <v>105</v>
      </c>
      <c r="D95" s="26">
        <v>6224.1</v>
      </c>
      <c r="F95" s="15" t="str">
        <f t="shared" si="1"/>
        <v>California</v>
      </c>
      <c r="G95" s="15" t="str">
        <f t="shared" si="1"/>
        <v>Sacramento County</v>
      </c>
      <c r="H95" s="15">
        <f t="shared" si="1"/>
        <v>105</v>
      </c>
      <c r="J95" s="15" t="str">
        <f t="shared" si="2"/>
        <v>California</v>
      </c>
      <c r="K95" s="15" t="str">
        <f t="shared" si="3"/>
        <v>Sacramento County</v>
      </c>
      <c r="L95">
        <f t="shared" si="4"/>
        <v>6224.1</v>
      </c>
    </row>
    <row r="96" spans="1:12" x14ac:dyDescent="0.35">
      <c r="A96" t="s">
        <v>19</v>
      </c>
      <c r="B96" t="s">
        <v>59</v>
      </c>
      <c r="C96" s="26">
        <v>37</v>
      </c>
      <c r="D96" s="26">
        <v>2205.3000000000002</v>
      </c>
      <c r="F96" s="15" t="str">
        <f t="shared" si="1"/>
        <v>California</v>
      </c>
      <c r="G96" s="15" t="str">
        <f t="shared" si="1"/>
        <v>San Bernardino County</v>
      </c>
      <c r="H96" s="15">
        <f t="shared" si="1"/>
        <v>37</v>
      </c>
      <c r="J96" s="15" t="str">
        <f t="shared" si="2"/>
        <v>California</v>
      </c>
      <c r="K96" s="15" t="str">
        <f t="shared" si="3"/>
        <v>San Bernardino County</v>
      </c>
      <c r="L96">
        <f t="shared" si="4"/>
        <v>2205.3000000000002</v>
      </c>
    </row>
    <row r="97" spans="1:12" x14ac:dyDescent="0.35">
      <c r="A97" t="s">
        <v>19</v>
      </c>
      <c r="B97" t="s">
        <v>62</v>
      </c>
      <c r="C97" s="26">
        <v>214</v>
      </c>
      <c r="D97" s="26">
        <v>12956.999999999998</v>
      </c>
      <c r="F97" s="15" t="str">
        <f t="shared" si="1"/>
        <v>California</v>
      </c>
      <c r="G97" s="15" t="str">
        <f t="shared" si="1"/>
        <v>San Diego County</v>
      </c>
      <c r="H97" s="15">
        <f t="shared" si="1"/>
        <v>214</v>
      </c>
      <c r="J97" s="15" t="str">
        <f t="shared" si="2"/>
        <v>California</v>
      </c>
      <c r="K97" s="15" t="str">
        <f t="shared" si="3"/>
        <v>San Diego County</v>
      </c>
      <c r="L97">
        <f t="shared" si="4"/>
        <v>12956.999999999998</v>
      </c>
    </row>
    <row r="98" spans="1:12" x14ac:dyDescent="0.35">
      <c r="A98" t="s">
        <v>19</v>
      </c>
      <c r="B98" t="s">
        <v>103</v>
      </c>
      <c r="C98" s="26">
        <v>6</v>
      </c>
      <c r="D98" s="26">
        <v>498.6</v>
      </c>
      <c r="F98" s="15" t="str">
        <f t="shared" si="1"/>
        <v>California</v>
      </c>
      <c r="G98" s="15" t="str">
        <f t="shared" si="1"/>
        <v>San Francisco</v>
      </c>
      <c r="H98" s="15">
        <f t="shared" si="1"/>
        <v>6</v>
      </c>
      <c r="J98" s="15" t="str">
        <f t="shared" si="2"/>
        <v>California</v>
      </c>
      <c r="K98" s="15" t="str">
        <f t="shared" si="3"/>
        <v>San Francisco</v>
      </c>
      <c r="L98">
        <f t="shared" si="4"/>
        <v>498.6</v>
      </c>
    </row>
    <row r="99" spans="1:12" x14ac:dyDescent="0.35">
      <c r="A99" t="s">
        <v>19</v>
      </c>
      <c r="B99" t="s">
        <v>201</v>
      </c>
      <c r="C99" s="26">
        <v>8</v>
      </c>
      <c r="D99" s="26">
        <v>240</v>
      </c>
      <c r="F99" s="15" t="str">
        <f t="shared" si="1"/>
        <v>California</v>
      </c>
      <c r="G99" s="15" t="str">
        <f t="shared" si="1"/>
        <v>San Joaquin County</v>
      </c>
      <c r="H99" s="15">
        <f t="shared" si="1"/>
        <v>8</v>
      </c>
      <c r="J99" s="15" t="str">
        <f t="shared" si="2"/>
        <v>California</v>
      </c>
      <c r="K99" s="15" t="str">
        <f t="shared" si="3"/>
        <v>San Joaquin County</v>
      </c>
      <c r="L99">
        <f t="shared" si="4"/>
        <v>240</v>
      </c>
    </row>
    <row r="100" spans="1:12" x14ac:dyDescent="0.35">
      <c r="A100" t="s">
        <v>19</v>
      </c>
      <c r="B100" t="s">
        <v>72</v>
      </c>
      <c r="C100" s="26">
        <v>35</v>
      </c>
      <c r="D100" s="26">
        <v>1265.1000000000001</v>
      </c>
      <c r="F100" s="15" t="str">
        <f t="shared" si="1"/>
        <v>California</v>
      </c>
      <c r="G100" s="15" t="str">
        <f t="shared" si="1"/>
        <v>San Mateo County</v>
      </c>
      <c r="H100" s="15">
        <f t="shared" si="1"/>
        <v>35</v>
      </c>
      <c r="J100" s="15" t="str">
        <f t="shared" si="2"/>
        <v>California</v>
      </c>
      <c r="K100" s="15" t="str">
        <f t="shared" si="3"/>
        <v>San Mateo County</v>
      </c>
      <c r="L100">
        <f t="shared" si="4"/>
        <v>1265.1000000000001</v>
      </c>
    </row>
    <row r="101" spans="1:12" x14ac:dyDescent="0.35">
      <c r="A101" t="s">
        <v>19</v>
      </c>
      <c r="B101" t="s">
        <v>74</v>
      </c>
      <c r="C101" s="26">
        <v>8</v>
      </c>
      <c r="D101" s="26">
        <v>521.1</v>
      </c>
      <c r="F101" s="15" t="str">
        <f t="shared" si="1"/>
        <v>California</v>
      </c>
      <c r="G101" s="15" t="str">
        <f t="shared" si="1"/>
        <v>Santa Barbara County</v>
      </c>
      <c r="H101" s="15">
        <f t="shared" si="1"/>
        <v>8</v>
      </c>
      <c r="J101" s="15" t="str">
        <f t="shared" si="2"/>
        <v>California</v>
      </c>
      <c r="K101" s="15" t="str">
        <f t="shared" si="3"/>
        <v>Santa Barbara County</v>
      </c>
      <c r="L101">
        <f t="shared" si="4"/>
        <v>521.1</v>
      </c>
    </row>
    <row r="102" spans="1:12" x14ac:dyDescent="0.35">
      <c r="A102" t="s">
        <v>19</v>
      </c>
      <c r="B102" t="s">
        <v>77</v>
      </c>
      <c r="C102" s="26">
        <v>57</v>
      </c>
      <c r="D102" s="26">
        <v>2675.5</v>
      </c>
      <c r="F102" s="15" t="str">
        <f t="shared" si="1"/>
        <v>California</v>
      </c>
      <c r="G102" s="15" t="str">
        <f t="shared" si="1"/>
        <v>Santa Clara County</v>
      </c>
      <c r="H102" s="15">
        <f t="shared" si="1"/>
        <v>57</v>
      </c>
      <c r="J102" s="15" t="str">
        <f t="shared" si="2"/>
        <v>California</v>
      </c>
      <c r="K102" s="15" t="str">
        <f t="shared" si="3"/>
        <v>Santa Clara County</v>
      </c>
      <c r="L102">
        <f t="shared" si="4"/>
        <v>2675.5</v>
      </c>
    </row>
    <row r="103" spans="1:12" x14ac:dyDescent="0.35">
      <c r="A103" t="s">
        <v>19</v>
      </c>
      <c r="B103" t="s">
        <v>1116</v>
      </c>
      <c r="C103" s="26">
        <v>24</v>
      </c>
      <c r="D103" s="26">
        <v>1876.1</v>
      </c>
      <c r="F103" s="15" t="str">
        <f t="shared" si="1"/>
        <v>California</v>
      </c>
      <c r="G103" s="15" t="str">
        <f t="shared" si="1"/>
        <v>Shasta County</v>
      </c>
      <c r="H103" s="15">
        <f t="shared" si="1"/>
        <v>24</v>
      </c>
      <c r="J103" s="15" t="str">
        <f t="shared" si="2"/>
        <v>California</v>
      </c>
      <c r="K103" s="15" t="str">
        <f t="shared" si="3"/>
        <v>Shasta County</v>
      </c>
      <c r="L103">
        <f t="shared" si="4"/>
        <v>1876.1</v>
      </c>
    </row>
    <row r="104" spans="1:12" x14ac:dyDescent="0.35">
      <c r="A104" t="s">
        <v>19</v>
      </c>
      <c r="B104" t="s">
        <v>377</v>
      </c>
      <c r="C104" s="26">
        <v>30</v>
      </c>
      <c r="D104" s="26">
        <v>2235</v>
      </c>
      <c r="F104" s="15" t="str">
        <f t="shared" si="1"/>
        <v>California</v>
      </c>
      <c r="G104" s="15" t="str">
        <f t="shared" si="1"/>
        <v>Solano County</v>
      </c>
      <c r="H104" s="15">
        <f t="shared" si="1"/>
        <v>30</v>
      </c>
      <c r="J104" s="15" t="str">
        <f t="shared" si="2"/>
        <v>California</v>
      </c>
      <c r="K104" s="15" t="str">
        <f t="shared" si="3"/>
        <v>Solano County</v>
      </c>
      <c r="L104">
        <f t="shared" si="4"/>
        <v>2235</v>
      </c>
    </row>
    <row r="105" spans="1:12" x14ac:dyDescent="0.35">
      <c r="A105" t="s">
        <v>19</v>
      </c>
      <c r="B105" t="s">
        <v>108</v>
      </c>
      <c r="C105" s="26">
        <v>46</v>
      </c>
      <c r="D105" s="26">
        <v>2995.7</v>
      </c>
      <c r="F105" s="15" t="str">
        <f t="shared" si="1"/>
        <v>California</v>
      </c>
      <c r="G105" s="15" t="str">
        <f t="shared" si="1"/>
        <v>Sonoma County</v>
      </c>
      <c r="H105" s="15">
        <f t="shared" si="1"/>
        <v>46</v>
      </c>
      <c r="J105" s="15" t="str">
        <f t="shared" si="2"/>
        <v>California</v>
      </c>
      <c r="K105" s="15" t="str">
        <f t="shared" si="3"/>
        <v>Sonoma County</v>
      </c>
      <c r="L105">
        <f t="shared" si="4"/>
        <v>2995.7</v>
      </c>
    </row>
    <row r="106" spans="1:12" x14ac:dyDescent="0.35">
      <c r="A106" t="s">
        <v>19</v>
      </c>
      <c r="B106" t="s">
        <v>110</v>
      </c>
      <c r="C106" s="26">
        <v>34</v>
      </c>
      <c r="D106" s="26">
        <v>1682.5</v>
      </c>
      <c r="F106" s="15" t="str">
        <f t="shared" si="1"/>
        <v>California</v>
      </c>
      <c r="G106" s="15" t="str">
        <f t="shared" si="1"/>
        <v>Stanislaus County</v>
      </c>
      <c r="H106" s="15">
        <f t="shared" si="1"/>
        <v>34</v>
      </c>
      <c r="J106" s="15" t="str">
        <f t="shared" si="2"/>
        <v>California</v>
      </c>
      <c r="K106" s="15" t="str">
        <f t="shared" si="3"/>
        <v>Stanislaus County</v>
      </c>
      <c r="L106">
        <f t="shared" si="4"/>
        <v>1682.5</v>
      </c>
    </row>
    <row r="107" spans="1:12" x14ac:dyDescent="0.35">
      <c r="A107" t="s">
        <v>19</v>
      </c>
      <c r="B107" t="s">
        <v>608</v>
      </c>
      <c r="C107" s="26">
        <v>5</v>
      </c>
      <c r="D107" s="26">
        <v>167.70000000000002</v>
      </c>
      <c r="F107" s="15" t="str">
        <f t="shared" si="1"/>
        <v>California</v>
      </c>
      <c r="G107" s="15" t="str">
        <f t="shared" si="1"/>
        <v>Trinity County</v>
      </c>
      <c r="H107" s="15">
        <f t="shared" si="1"/>
        <v>5</v>
      </c>
      <c r="J107" s="15" t="str">
        <f t="shared" si="2"/>
        <v>California</v>
      </c>
      <c r="K107" s="15" t="str">
        <f t="shared" si="3"/>
        <v>Trinity County</v>
      </c>
      <c r="L107">
        <f t="shared" si="4"/>
        <v>167.70000000000002</v>
      </c>
    </row>
    <row r="108" spans="1:12" x14ac:dyDescent="0.35">
      <c r="A108" t="s">
        <v>19</v>
      </c>
      <c r="B108" t="s">
        <v>113</v>
      </c>
      <c r="C108" s="26">
        <v>8</v>
      </c>
      <c r="D108" s="26">
        <v>211.6</v>
      </c>
      <c r="F108" s="15" t="str">
        <f t="shared" si="1"/>
        <v>California</v>
      </c>
      <c r="G108" s="15" t="str">
        <f t="shared" si="1"/>
        <v>Tulare County</v>
      </c>
      <c r="H108" s="15">
        <f t="shared" si="1"/>
        <v>8</v>
      </c>
      <c r="J108" s="15" t="str">
        <f t="shared" si="2"/>
        <v>California</v>
      </c>
      <c r="K108" s="15" t="str">
        <f t="shared" si="3"/>
        <v>Tulare County</v>
      </c>
      <c r="L108">
        <f t="shared" si="4"/>
        <v>211.6</v>
      </c>
    </row>
    <row r="109" spans="1:12" x14ac:dyDescent="0.35">
      <c r="A109" t="s">
        <v>19</v>
      </c>
      <c r="B109" t="s">
        <v>82</v>
      </c>
      <c r="C109" s="26">
        <v>21</v>
      </c>
      <c r="D109" s="26">
        <v>1932.7</v>
      </c>
      <c r="F109" s="15" t="str">
        <f t="shared" si="1"/>
        <v>California</v>
      </c>
      <c r="G109" s="15" t="str">
        <f t="shared" si="1"/>
        <v>Ventura County</v>
      </c>
      <c r="H109" s="15">
        <f t="shared" si="1"/>
        <v>21</v>
      </c>
      <c r="J109" s="15" t="str">
        <f t="shared" si="2"/>
        <v>California</v>
      </c>
      <c r="K109" s="15" t="str">
        <f t="shared" si="3"/>
        <v>Ventura County</v>
      </c>
      <c r="L109">
        <f t="shared" si="4"/>
        <v>1932.7</v>
      </c>
    </row>
    <row r="110" spans="1:12" x14ac:dyDescent="0.35">
      <c r="A110" t="s">
        <v>19</v>
      </c>
      <c r="B110" t="s">
        <v>243</v>
      </c>
      <c r="C110" s="26">
        <v>2</v>
      </c>
      <c r="D110" s="26">
        <v>39.799999999999997</v>
      </c>
      <c r="F110" s="15" t="str">
        <f t="shared" si="1"/>
        <v>California</v>
      </c>
      <c r="G110" s="15" t="str">
        <f t="shared" si="1"/>
        <v>Yolo County</v>
      </c>
      <c r="H110" s="15">
        <f t="shared" si="1"/>
        <v>2</v>
      </c>
      <c r="J110" s="15" t="str">
        <f t="shared" si="2"/>
        <v>California</v>
      </c>
      <c r="K110" s="15" t="str">
        <f t="shared" si="3"/>
        <v>Yolo County</v>
      </c>
      <c r="L110">
        <f t="shared" si="4"/>
        <v>39.799999999999997</v>
      </c>
    </row>
    <row r="111" spans="1:12" x14ac:dyDescent="0.35">
      <c r="F111" s="15" t="str">
        <f t="shared" si="1"/>
        <v/>
      </c>
      <c r="G111" s="15" t="str">
        <f t="shared" si="1"/>
        <v/>
      </c>
      <c r="H111" s="15" t="str">
        <f t="shared" si="1"/>
        <v/>
      </c>
      <c r="J111" s="15" t="str">
        <f t="shared" si="2"/>
        <v/>
      </c>
      <c r="K111" s="15" t="str">
        <f t="shared" si="3"/>
        <v/>
      </c>
      <c r="L111" t="str">
        <f t="shared" si="4"/>
        <v/>
      </c>
    </row>
    <row r="112" spans="1:12" x14ac:dyDescent="0.35">
      <c r="F112" s="15" t="str">
        <f t="shared" si="1"/>
        <v/>
      </c>
      <c r="G112" s="15" t="str">
        <f t="shared" si="1"/>
        <v/>
      </c>
      <c r="H112" s="15" t="str">
        <f t="shared" si="1"/>
        <v/>
      </c>
      <c r="J112" s="15" t="str">
        <f t="shared" si="2"/>
        <v/>
      </c>
      <c r="K112" s="15" t="str">
        <f t="shared" si="3"/>
        <v/>
      </c>
      <c r="L112" t="str">
        <f t="shared" si="4"/>
        <v/>
      </c>
    </row>
    <row r="113" spans="6:12" x14ac:dyDescent="0.35">
      <c r="F113" s="15" t="str">
        <f t="shared" si="1"/>
        <v/>
      </c>
      <c r="G113" s="15" t="str">
        <f t="shared" si="1"/>
        <v/>
      </c>
      <c r="H113" s="15" t="str">
        <f t="shared" si="1"/>
        <v/>
      </c>
      <c r="J113" s="15" t="str">
        <f t="shared" si="2"/>
        <v/>
      </c>
      <c r="K113" s="15" t="str">
        <f t="shared" si="3"/>
        <v/>
      </c>
      <c r="L113" t="str">
        <f t="shared" si="4"/>
        <v/>
      </c>
    </row>
    <row r="114" spans="6:12" x14ac:dyDescent="0.35">
      <c r="F114" s="15" t="str">
        <f t="shared" si="1"/>
        <v/>
      </c>
      <c r="G114" s="15" t="str">
        <f t="shared" si="1"/>
        <v/>
      </c>
      <c r="H114" s="15" t="str">
        <f t="shared" si="1"/>
        <v/>
      </c>
      <c r="J114" s="15" t="str">
        <f t="shared" si="2"/>
        <v/>
      </c>
      <c r="K114" s="15" t="str">
        <f t="shared" si="3"/>
        <v/>
      </c>
      <c r="L114" t="str">
        <f t="shared" si="4"/>
        <v/>
      </c>
    </row>
    <row r="115" spans="6:12" x14ac:dyDescent="0.35">
      <c r="F115" s="15" t="str">
        <f t="shared" si="1"/>
        <v/>
      </c>
      <c r="G115" s="15" t="str">
        <f t="shared" si="1"/>
        <v/>
      </c>
      <c r="H115" s="15" t="str">
        <f t="shared" si="1"/>
        <v/>
      </c>
      <c r="J115" s="15" t="str">
        <f t="shared" si="2"/>
        <v/>
      </c>
      <c r="K115" s="15" t="str">
        <f t="shared" si="3"/>
        <v/>
      </c>
      <c r="L115" t="str">
        <f t="shared" si="4"/>
        <v/>
      </c>
    </row>
    <row r="116" spans="6:12" x14ac:dyDescent="0.35">
      <c r="F116" s="15" t="str">
        <f t="shared" si="1"/>
        <v/>
      </c>
      <c r="G116" s="15" t="str">
        <f t="shared" si="1"/>
        <v/>
      </c>
      <c r="H116" s="15" t="str">
        <f t="shared" si="1"/>
        <v/>
      </c>
      <c r="J116" s="15" t="str">
        <f t="shared" si="2"/>
        <v/>
      </c>
      <c r="K116" s="15" t="str">
        <f t="shared" si="3"/>
        <v/>
      </c>
      <c r="L116" t="str">
        <f t="shared" si="4"/>
        <v/>
      </c>
    </row>
    <row r="117" spans="6:12" x14ac:dyDescent="0.35">
      <c r="F117" s="15" t="str">
        <f t="shared" si="1"/>
        <v/>
      </c>
      <c r="G117" s="15" t="str">
        <f t="shared" si="1"/>
        <v/>
      </c>
      <c r="H117" s="15" t="str">
        <f t="shared" si="1"/>
        <v/>
      </c>
      <c r="J117" s="15" t="str">
        <f t="shared" si="2"/>
        <v/>
      </c>
      <c r="K117" s="15" t="str">
        <f t="shared" si="3"/>
        <v/>
      </c>
      <c r="L117" t="str">
        <f t="shared" si="4"/>
        <v/>
      </c>
    </row>
    <row r="118" spans="6:12" x14ac:dyDescent="0.35">
      <c r="F118" s="15" t="str">
        <f t="shared" si="1"/>
        <v/>
      </c>
      <c r="G118" s="15" t="str">
        <f t="shared" si="1"/>
        <v/>
      </c>
      <c r="H118" s="15" t="str">
        <f t="shared" si="1"/>
        <v/>
      </c>
      <c r="J118" s="15" t="str">
        <f t="shared" si="2"/>
        <v/>
      </c>
      <c r="K118" s="15" t="str">
        <f t="shared" si="3"/>
        <v/>
      </c>
      <c r="L118" t="str">
        <f t="shared" si="4"/>
        <v/>
      </c>
    </row>
    <row r="119" spans="6:12" x14ac:dyDescent="0.35">
      <c r="F119" s="15" t="str">
        <f t="shared" si="1"/>
        <v/>
      </c>
      <c r="G119" s="15" t="str">
        <f t="shared" si="1"/>
        <v/>
      </c>
      <c r="H119" s="15" t="str">
        <f t="shared" si="1"/>
        <v/>
      </c>
      <c r="J119" s="15" t="str">
        <f t="shared" si="2"/>
        <v/>
      </c>
      <c r="K119" s="15" t="str">
        <f t="shared" si="3"/>
        <v/>
      </c>
      <c r="L119" t="str">
        <f t="shared" si="4"/>
        <v/>
      </c>
    </row>
    <row r="120" spans="6:12" x14ac:dyDescent="0.35">
      <c r="F120" s="15" t="str">
        <f t="shared" si="1"/>
        <v/>
      </c>
      <c r="G120" s="15" t="str">
        <f t="shared" si="1"/>
        <v/>
      </c>
      <c r="H120" s="15" t="str">
        <f t="shared" si="1"/>
        <v/>
      </c>
      <c r="J120" s="15" t="str">
        <f t="shared" si="2"/>
        <v/>
      </c>
      <c r="K120" s="15" t="str">
        <f t="shared" si="3"/>
        <v/>
      </c>
      <c r="L120" t="str">
        <f t="shared" si="4"/>
        <v/>
      </c>
    </row>
    <row r="121" spans="6:12" x14ac:dyDescent="0.35">
      <c r="F121" s="15" t="str">
        <f t="shared" si="1"/>
        <v/>
      </c>
      <c r="G121" s="15" t="str">
        <f t="shared" si="1"/>
        <v/>
      </c>
      <c r="H121" s="15" t="str">
        <f t="shared" si="1"/>
        <v/>
      </c>
      <c r="J121" s="15" t="str">
        <f t="shared" si="2"/>
        <v/>
      </c>
      <c r="K121" s="15" t="str">
        <f t="shared" si="3"/>
        <v/>
      </c>
      <c r="L121" t="str">
        <f t="shared" si="4"/>
        <v/>
      </c>
    </row>
    <row r="122" spans="6:12" x14ac:dyDescent="0.35">
      <c r="F122" s="15" t="str">
        <f t="shared" si="1"/>
        <v/>
      </c>
      <c r="G122" s="15" t="str">
        <f t="shared" si="1"/>
        <v/>
      </c>
      <c r="H122" s="15" t="str">
        <f t="shared" si="1"/>
        <v/>
      </c>
      <c r="J122" s="15" t="str">
        <f t="shared" si="2"/>
        <v/>
      </c>
      <c r="K122" s="15" t="str">
        <f t="shared" si="3"/>
        <v/>
      </c>
      <c r="L122" t="str">
        <f t="shared" si="4"/>
        <v/>
      </c>
    </row>
    <row r="123" spans="6:12" x14ac:dyDescent="0.35">
      <c r="F123" s="15" t="str">
        <f t="shared" si="1"/>
        <v/>
      </c>
      <c r="G123" s="15" t="str">
        <f t="shared" si="1"/>
        <v/>
      </c>
      <c r="H123" s="15" t="str">
        <f t="shared" si="1"/>
        <v/>
      </c>
      <c r="J123" s="15" t="str">
        <f t="shared" si="2"/>
        <v/>
      </c>
      <c r="K123" s="15" t="str">
        <f t="shared" si="3"/>
        <v/>
      </c>
      <c r="L123" t="str">
        <f t="shared" si="4"/>
        <v/>
      </c>
    </row>
    <row r="124" spans="6:12" x14ac:dyDescent="0.35">
      <c r="F124" s="15" t="str">
        <f t="shared" si="1"/>
        <v/>
      </c>
      <c r="G124" s="15" t="str">
        <f t="shared" si="1"/>
        <v/>
      </c>
      <c r="H124" s="15" t="str">
        <f t="shared" si="1"/>
        <v/>
      </c>
      <c r="J124" s="15" t="str">
        <f t="shared" si="2"/>
        <v/>
      </c>
      <c r="K124" s="15" t="str">
        <f t="shared" si="3"/>
        <v/>
      </c>
      <c r="L124" t="str">
        <f t="shared" si="4"/>
        <v/>
      </c>
    </row>
    <row r="125" spans="6:12" x14ac:dyDescent="0.35">
      <c r="F125" s="15" t="str">
        <f t="shared" si="1"/>
        <v/>
      </c>
      <c r="G125" s="15" t="str">
        <f t="shared" si="1"/>
        <v/>
      </c>
      <c r="H125" s="15" t="str">
        <f t="shared" si="1"/>
        <v/>
      </c>
      <c r="J125" s="15" t="str">
        <f t="shared" si="2"/>
        <v/>
      </c>
      <c r="K125" s="15" t="str">
        <f t="shared" si="3"/>
        <v/>
      </c>
      <c r="L125" t="str">
        <f t="shared" si="4"/>
        <v/>
      </c>
    </row>
    <row r="126" spans="6:12" x14ac:dyDescent="0.35">
      <c r="F126" s="15" t="str">
        <f t="shared" si="1"/>
        <v/>
      </c>
      <c r="G126" s="15" t="str">
        <f t="shared" si="1"/>
        <v/>
      </c>
      <c r="H126" s="15" t="str">
        <f t="shared" si="1"/>
        <v/>
      </c>
      <c r="J126" s="15" t="str">
        <f t="shared" si="2"/>
        <v/>
      </c>
      <c r="K126" s="15" t="str">
        <f t="shared" si="3"/>
        <v/>
      </c>
      <c r="L126" t="str">
        <f t="shared" si="4"/>
        <v/>
      </c>
    </row>
    <row r="127" spans="6:12" x14ac:dyDescent="0.35">
      <c r="F127" s="15" t="str">
        <f t="shared" si="1"/>
        <v/>
      </c>
      <c r="G127" s="15" t="str">
        <f t="shared" si="1"/>
        <v/>
      </c>
      <c r="H127" s="15" t="str">
        <f t="shared" si="1"/>
        <v/>
      </c>
      <c r="J127" s="15" t="str">
        <f t="shared" si="2"/>
        <v/>
      </c>
      <c r="K127" s="15" t="str">
        <f t="shared" si="3"/>
        <v/>
      </c>
      <c r="L127" t="str">
        <f t="shared" si="4"/>
        <v/>
      </c>
    </row>
    <row r="128" spans="6:12" x14ac:dyDescent="0.35">
      <c r="F128" s="15" t="str">
        <f t="shared" si="1"/>
        <v/>
      </c>
      <c r="G128" s="15" t="str">
        <f t="shared" si="1"/>
        <v/>
      </c>
      <c r="H128" s="15" t="str">
        <f t="shared" si="1"/>
        <v/>
      </c>
      <c r="J128" s="15" t="str">
        <f t="shared" si="2"/>
        <v/>
      </c>
      <c r="K128" s="15" t="str">
        <f t="shared" si="3"/>
        <v/>
      </c>
      <c r="L128" t="str">
        <f t="shared" si="4"/>
        <v/>
      </c>
    </row>
    <row r="129" spans="1:12" x14ac:dyDescent="0.35">
      <c r="F129" s="15" t="str">
        <f t="shared" si="1"/>
        <v/>
      </c>
      <c r="G129" s="15" t="str">
        <f t="shared" si="1"/>
        <v/>
      </c>
      <c r="H129" s="15" t="str">
        <f t="shared" si="1"/>
        <v/>
      </c>
      <c r="J129" s="15" t="str">
        <f t="shared" si="2"/>
        <v/>
      </c>
      <c r="K129" s="15" t="str">
        <f t="shared" si="3"/>
        <v/>
      </c>
      <c r="L129" t="str">
        <f t="shared" si="4"/>
        <v/>
      </c>
    </row>
    <row r="130" spans="1:12" x14ac:dyDescent="0.35">
      <c r="F130" s="15" t="str">
        <f t="shared" si="1"/>
        <v/>
      </c>
      <c r="G130" s="15" t="str">
        <f t="shared" si="1"/>
        <v/>
      </c>
      <c r="H130" s="15" t="str">
        <f t="shared" si="1"/>
        <v/>
      </c>
      <c r="J130" s="15" t="str">
        <f t="shared" si="2"/>
        <v/>
      </c>
      <c r="K130" s="15" t="str">
        <f t="shared" si="3"/>
        <v/>
      </c>
      <c r="L130" t="str">
        <f t="shared" si="4"/>
        <v/>
      </c>
    </row>
    <row r="131" spans="1:12" x14ac:dyDescent="0.35">
      <c r="F131" s="15" t="str">
        <f t="shared" si="1"/>
        <v/>
      </c>
      <c r="G131" s="15" t="str">
        <f t="shared" si="1"/>
        <v/>
      </c>
      <c r="H131" s="15" t="str">
        <f t="shared" si="1"/>
        <v/>
      </c>
      <c r="J131" s="15" t="str">
        <f t="shared" si="2"/>
        <v/>
      </c>
      <c r="K131" s="15" t="str">
        <f t="shared" si="3"/>
        <v/>
      </c>
      <c r="L131" t="str">
        <f t="shared" si="4"/>
        <v/>
      </c>
    </row>
    <row r="132" spans="1:12" x14ac:dyDescent="0.35">
      <c r="F132" s="15" t="str">
        <f t="shared" si="1"/>
        <v/>
      </c>
      <c r="G132" s="15" t="str">
        <f t="shared" si="1"/>
        <v/>
      </c>
      <c r="H132" s="15" t="str">
        <f t="shared" si="1"/>
        <v/>
      </c>
      <c r="J132" s="15" t="str">
        <f t="shared" si="2"/>
        <v/>
      </c>
      <c r="K132" s="15" t="str">
        <f t="shared" si="3"/>
        <v/>
      </c>
      <c r="L132" t="str">
        <f t="shared" si="4"/>
        <v/>
      </c>
    </row>
    <row r="133" spans="1:12" x14ac:dyDescent="0.35">
      <c r="F133" s="15" t="str">
        <f t="shared" ref="F133:F134" si="5">IF(A133="","",A133)</f>
        <v/>
      </c>
      <c r="G133" s="15" t="str">
        <f t="shared" ref="G133:H134" si="6">IF(B133="","",B133)</f>
        <v/>
      </c>
      <c r="H133" s="15" t="str">
        <f t="shared" si="6"/>
        <v/>
      </c>
    </row>
    <row r="134" spans="1:12" x14ac:dyDescent="0.35">
      <c r="F134" s="15" t="str">
        <f t="shared" si="5"/>
        <v/>
      </c>
      <c r="G134" s="15" t="str">
        <f t="shared" si="6"/>
        <v/>
      </c>
      <c r="H134" s="15" t="str">
        <f t="shared" si="6"/>
        <v/>
      </c>
    </row>
    <row r="135" spans="1:12" x14ac:dyDescent="0.35">
      <c r="A135" s="14" t="s">
        <v>2565</v>
      </c>
      <c r="B135" t="s">
        <v>2552</v>
      </c>
    </row>
    <row r="136" spans="1:12" x14ac:dyDescent="0.35">
      <c r="A136" s="16">
        <v>0</v>
      </c>
      <c r="B136" s="26">
        <v>25</v>
      </c>
    </row>
    <row r="137" spans="1:12" x14ac:dyDescent="0.35">
      <c r="A137" s="16">
        <v>1</v>
      </c>
      <c r="B137" s="26">
        <v>99</v>
      </c>
    </row>
    <row r="138" spans="1:12" x14ac:dyDescent="0.35">
      <c r="A138" s="16">
        <v>2</v>
      </c>
      <c r="B138" s="26">
        <v>80</v>
      </c>
    </row>
    <row r="139" spans="1:12" x14ac:dyDescent="0.35">
      <c r="A139" s="16">
        <v>3</v>
      </c>
      <c r="B139" s="26">
        <v>40</v>
      </c>
    </row>
    <row r="140" spans="1:12" x14ac:dyDescent="0.35">
      <c r="A140" s="16">
        <v>4</v>
      </c>
      <c r="B140" s="26">
        <v>23</v>
      </c>
    </row>
    <row r="141" spans="1:12" x14ac:dyDescent="0.35">
      <c r="A141" s="16">
        <v>5</v>
      </c>
      <c r="B141" s="26">
        <v>9</v>
      </c>
    </row>
    <row r="142" spans="1:12" x14ac:dyDescent="0.35">
      <c r="A142" s="16">
        <v>6</v>
      </c>
      <c r="B142" s="26">
        <v>3</v>
      </c>
    </row>
    <row r="143" spans="1:12" x14ac:dyDescent="0.35">
      <c r="A143" s="16">
        <v>7</v>
      </c>
      <c r="B143" s="26">
        <v>5</v>
      </c>
    </row>
    <row r="144" spans="1:12" x14ac:dyDescent="0.35">
      <c r="A144" s="16">
        <v>8</v>
      </c>
      <c r="B144" s="26">
        <v>1</v>
      </c>
    </row>
    <row r="145" spans="1:7" x14ac:dyDescent="0.35">
      <c r="A145" s="16">
        <v>9</v>
      </c>
      <c r="B145" s="26">
        <v>2</v>
      </c>
    </row>
    <row r="146" spans="1:7" x14ac:dyDescent="0.35">
      <c r="A146" s="16">
        <v>11</v>
      </c>
      <c r="B146" s="26">
        <v>1</v>
      </c>
    </row>
    <row r="147" spans="1:7" x14ac:dyDescent="0.35">
      <c r="A147" s="16">
        <v>13</v>
      </c>
      <c r="B147" s="26">
        <v>2</v>
      </c>
    </row>
    <row r="148" spans="1:7" x14ac:dyDescent="0.35">
      <c r="A148" s="16">
        <v>14</v>
      </c>
      <c r="B148" s="26">
        <v>1</v>
      </c>
    </row>
    <row r="149" spans="1:7" x14ac:dyDescent="0.35">
      <c r="A149" s="16" t="s">
        <v>2566</v>
      </c>
      <c r="B149" s="26">
        <v>291</v>
      </c>
    </row>
    <row r="154" spans="1:7" x14ac:dyDescent="0.35">
      <c r="A154" s="14" t="s">
        <v>2552</v>
      </c>
      <c r="B154" s="14" t="s">
        <v>2567</v>
      </c>
    </row>
    <row r="155" spans="1:7" x14ac:dyDescent="0.35">
      <c r="A155" s="14" t="s">
        <v>2565</v>
      </c>
      <c r="B155">
        <v>1</v>
      </c>
      <c r="C155">
        <v>2</v>
      </c>
      <c r="D155">
        <v>3</v>
      </c>
      <c r="E155">
        <v>4</v>
      </c>
      <c r="F155">
        <v>5</v>
      </c>
      <c r="G155" t="s">
        <v>2566</v>
      </c>
    </row>
    <row r="156" spans="1:7" x14ac:dyDescent="0.35">
      <c r="A156" s="16" t="s">
        <v>2572</v>
      </c>
      <c r="B156" s="26"/>
      <c r="C156" s="26">
        <v>5</v>
      </c>
      <c r="D156" s="26">
        <v>23</v>
      </c>
      <c r="E156" s="26">
        <v>41</v>
      </c>
      <c r="F156" s="26">
        <v>34</v>
      </c>
      <c r="G156" s="26">
        <v>103</v>
      </c>
    </row>
    <row r="157" spans="1:7" x14ac:dyDescent="0.35">
      <c r="A157" s="16" t="s">
        <v>2573</v>
      </c>
      <c r="B157" s="26"/>
      <c r="C157" s="26">
        <v>11</v>
      </c>
      <c r="D157" s="26">
        <v>20</v>
      </c>
      <c r="E157" s="26">
        <v>38</v>
      </c>
      <c r="F157" s="26">
        <v>26</v>
      </c>
      <c r="G157" s="26">
        <v>95</v>
      </c>
    </row>
    <row r="158" spans="1:7" x14ac:dyDescent="0.35">
      <c r="A158" s="16" t="s">
        <v>2574</v>
      </c>
      <c r="B158" s="26">
        <v>1</v>
      </c>
      <c r="C158" s="26">
        <v>4</v>
      </c>
      <c r="D158" s="26">
        <v>15</v>
      </c>
      <c r="E158" s="26">
        <v>36</v>
      </c>
      <c r="F158" s="26">
        <v>37</v>
      </c>
      <c r="G158" s="26">
        <v>93</v>
      </c>
    </row>
    <row r="159" spans="1:7" x14ac:dyDescent="0.35">
      <c r="A159" s="16" t="s">
        <v>2566</v>
      </c>
      <c r="B159" s="26">
        <v>1</v>
      </c>
      <c r="C159" s="26">
        <v>20</v>
      </c>
      <c r="D159" s="26">
        <v>58</v>
      </c>
      <c r="E159" s="26">
        <v>115</v>
      </c>
      <c r="F159" s="26">
        <v>97</v>
      </c>
      <c r="G159" s="26">
        <v>291</v>
      </c>
    </row>
  </sheetData>
  <pageMargins left="0.7" right="0.7" top="0.75" bottom="0.75" header="0.3" footer="0.3"/>
  <tableParts count="2">
    <tablePart r:id="rId9"/>
    <tablePart r:id="rId1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C1AF0-95AB-436B-8F11-C8F3E33499E8}">
  <dimension ref="A2:M15"/>
  <sheetViews>
    <sheetView workbookViewId="0">
      <selection activeCell="B6" sqref="B6"/>
    </sheetView>
  </sheetViews>
  <sheetFormatPr defaultRowHeight="14.5" x14ac:dyDescent="0.35"/>
  <cols>
    <col min="1" max="1" width="13.6328125" bestFit="1" customWidth="1"/>
    <col min="2" max="2" width="15.6328125" bestFit="1" customWidth="1"/>
    <col min="3" max="3" width="6.90625" bestFit="1" customWidth="1"/>
    <col min="4" max="4" width="5.90625" bestFit="1" customWidth="1"/>
    <col min="6" max="6" width="10.36328125" bestFit="1" customWidth="1"/>
    <col min="8" max="8" width="10.81640625" bestFit="1" customWidth="1"/>
  </cols>
  <sheetData>
    <row r="2" spans="1:13" x14ac:dyDescent="0.35">
      <c r="H2" t="s">
        <v>2568</v>
      </c>
    </row>
    <row r="3" spans="1:13" ht="15" thickBot="1" x14ac:dyDescent="0.4">
      <c r="A3" s="14" t="s">
        <v>2554</v>
      </c>
      <c r="B3" s="14" t="s">
        <v>2567</v>
      </c>
    </row>
    <row r="4" spans="1:13" ht="15" customHeight="1" thickTop="1" thickBot="1" x14ac:dyDescent="0.4">
      <c r="A4" s="14" t="s">
        <v>2565</v>
      </c>
      <c r="B4" t="s">
        <v>2563</v>
      </c>
      <c r="C4" t="s">
        <v>2562</v>
      </c>
      <c r="D4" t="s">
        <v>2564</v>
      </c>
      <c r="E4" t="s">
        <v>2561</v>
      </c>
      <c r="F4" t="s">
        <v>2566</v>
      </c>
      <c r="H4" s="21"/>
      <c r="I4" s="21" t="str">
        <f t="shared" ref="I4:L9" si="0">B4</f>
        <v>Female</v>
      </c>
      <c r="J4" s="21" t="str">
        <f t="shared" si="0"/>
        <v>Male</v>
      </c>
      <c r="K4" s="21" t="str">
        <f t="shared" si="0"/>
        <v>Other</v>
      </c>
      <c r="L4" s="21" t="str">
        <f t="shared" si="0"/>
        <v>Unknown</v>
      </c>
    </row>
    <row r="5" spans="1:13" ht="15.5" thickTop="1" thickBot="1" x14ac:dyDescent="0.4">
      <c r="A5" s="16" t="s">
        <v>18</v>
      </c>
      <c r="B5" s="18">
        <v>0.18961825201634841</v>
      </c>
      <c r="C5" s="18">
        <v>0.12262322351336576</v>
      </c>
      <c r="D5" s="18">
        <v>1.060537752469185E-2</v>
      </c>
      <c r="E5" s="18">
        <v>3.0599220547662797E-2</v>
      </c>
      <c r="F5" s="18">
        <v>0.35344607360206881</v>
      </c>
      <c r="H5" s="21" t="str">
        <f>A5</f>
        <v>App</v>
      </c>
      <c r="I5" s="22">
        <f t="shared" si="0"/>
        <v>0.18961825201634841</v>
      </c>
      <c r="J5" s="22">
        <f t="shared" si="0"/>
        <v>0.12262322351336576</v>
      </c>
      <c r="K5" s="22">
        <f t="shared" si="0"/>
        <v>1.060537752469185E-2</v>
      </c>
      <c r="L5" s="22">
        <f t="shared" si="0"/>
        <v>3.0599220547662797E-2</v>
      </c>
      <c r="M5" s="19"/>
    </row>
    <row r="6" spans="1:13" ht="15.5" thickTop="1" thickBot="1" x14ac:dyDescent="0.4">
      <c r="A6" s="16" t="s">
        <v>51</v>
      </c>
      <c r="B6" s="18">
        <v>5.0283982091147303E-2</v>
      </c>
      <c r="C6" s="18">
        <v>4.3060781812819873E-2</v>
      </c>
      <c r="D6" s="18">
        <v>1.5320025675641944E-3</v>
      </c>
      <c r="E6" s="18">
        <v>1.7794988689097006E-2</v>
      </c>
      <c r="F6" s="18">
        <v>0.11267175516062837</v>
      </c>
      <c r="H6" s="21" t="str">
        <f>A6</f>
        <v>Instagram</v>
      </c>
      <c r="I6" s="22">
        <f t="shared" si="0"/>
        <v>5.0283982091147303E-2</v>
      </c>
      <c r="J6" s="22">
        <f t="shared" si="0"/>
        <v>4.3060781812819873E-2</v>
      </c>
      <c r="K6" s="22">
        <f t="shared" si="0"/>
        <v>1.5320025675641944E-3</v>
      </c>
      <c r="L6" s="22">
        <f t="shared" si="0"/>
        <v>1.7794988689097006E-2</v>
      </c>
      <c r="M6" s="19"/>
    </row>
    <row r="7" spans="1:13" ht="15.5" thickTop="1" thickBot="1" x14ac:dyDescent="0.4">
      <c r="A7" s="16" t="s">
        <v>70</v>
      </c>
      <c r="B7" s="18">
        <v>6.3496059750411282E-2</v>
      </c>
      <c r="C7" s="18">
        <v>4.6071629863988765E-2</v>
      </c>
      <c r="D7" s="18">
        <v>2.306247051322625E-3</v>
      </c>
      <c r="E7" s="18">
        <v>3.8927934093844286E-3</v>
      </c>
      <c r="F7" s="18">
        <v>0.11576673007510711</v>
      </c>
      <c r="H7" s="21" t="str">
        <f>A7</f>
        <v>Partner App</v>
      </c>
      <c r="I7" s="22">
        <f t="shared" si="0"/>
        <v>6.3496059750411282E-2</v>
      </c>
      <c r="J7" s="22">
        <f t="shared" si="0"/>
        <v>4.6071629863988765E-2</v>
      </c>
      <c r="K7" s="22">
        <f t="shared" si="0"/>
        <v>2.306247051322625E-3</v>
      </c>
      <c r="L7" s="22">
        <f t="shared" si="0"/>
        <v>3.8927934093844286E-3</v>
      </c>
      <c r="M7" s="19"/>
    </row>
    <row r="8" spans="1:13" ht="15.5" thickTop="1" thickBot="1" x14ac:dyDescent="0.4">
      <c r="A8" s="16" t="s">
        <v>40</v>
      </c>
      <c r="B8" s="18">
        <v>9.6337892927149532E-2</v>
      </c>
      <c r="C8" s="18">
        <v>6.7920115842382611E-2</v>
      </c>
      <c r="D8" s="18">
        <v>5.4979832664581261E-3</v>
      </c>
      <c r="E8" s="18">
        <v>1.2933041488102518E-2</v>
      </c>
      <c r="F8" s="18">
        <v>0.1826890335240928</v>
      </c>
      <c r="H8" s="21" t="str">
        <f>A8</f>
        <v>Target.com</v>
      </c>
      <c r="I8" s="22">
        <f t="shared" si="0"/>
        <v>9.6337892927149532E-2</v>
      </c>
      <c r="J8" s="22">
        <f t="shared" si="0"/>
        <v>6.7920115842382611E-2</v>
      </c>
      <c r="K8" s="22">
        <f t="shared" si="0"/>
        <v>5.4979832664581261E-3</v>
      </c>
      <c r="L8" s="22">
        <f t="shared" si="0"/>
        <v>1.2933041488102518E-2</v>
      </c>
      <c r="M8" s="19"/>
    </row>
    <row r="9" spans="1:13" ht="15.5" thickTop="1" thickBot="1" x14ac:dyDescent="0.4">
      <c r="A9" s="16" t="s">
        <v>35</v>
      </c>
      <c r="B9" s="18">
        <v>0.12522098709469262</v>
      </c>
      <c r="C9" s="18">
        <v>9.1492740283116228E-2</v>
      </c>
      <c r="D9" s="18">
        <v>6.3042760790965081E-3</v>
      </c>
      <c r="E9" s="18">
        <v>1.2408404181197551E-2</v>
      </c>
      <c r="F9" s="18">
        <v>0.23542640763810288</v>
      </c>
      <c r="H9" s="21" t="str">
        <f>A9</f>
        <v>Website</v>
      </c>
      <c r="I9" s="22">
        <f t="shared" si="0"/>
        <v>0.12522098709469262</v>
      </c>
      <c r="J9" s="22">
        <f t="shared" si="0"/>
        <v>9.1492740283116228E-2</v>
      </c>
      <c r="K9" s="22">
        <f t="shared" si="0"/>
        <v>6.3042760790965081E-3</v>
      </c>
      <c r="L9" s="22">
        <f t="shared" si="0"/>
        <v>1.2408404181197551E-2</v>
      </c>
      <c r="M9" s="19"/>
    </row>
    <row r="10" spans="1:13" ht="15" thickTop="1" x14ac:dyDescent="0.35">
      <c r="A10" s="16" t="s">
        <v>2566</v>
      </c>
      <c r="B10" s="18">
        <v>0.52495717387974916</v>
      </c>
      <c r="C10" s="18">
        <v>0.3711684913156732</v>
      </c>
      <c r="D10" s="18">
        <v>2.6245886489133303E-2</v>
      </c>
      <c r="E10" s="18">
        <v>7.7628448315444312E-2</v>
      </c>
      <c r="F10" s="18">
        <v>1</v>
      </c>
      <c r="L10" s="20"/>
    </row>
    <row r="11" spans="1:13" x14ac:dyDescent="0.35">
      <c r="L11" s="20"/>
    </row>
    <row r="12" spans="1:13" x14ac:dyDescent="0.35">
      <c r="L12" s="20"/>
    </row>
    <row r="13" spans="1:13" x14ac:dyDescent="0.35">
      <c r="L13" s="20"/>
    </row>
    <row r="14" spans="1:13" x14ac:dyDescent="0.35">
      <c r="L14" s="20"/>
    </row>
    <row r="15" spans="1:13" x14ac:dyDescent="0.35">
      <c r="L15" s="20"/>
    </row>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E6"/>
  <sheetViews>
    <sheetView tabSelected="1" topLeftCell="A10" zoomScale="80" zoomScaleNormal="80" workbookViewId="0">
      <selection activeCell="K50" sqref="K50"/>
    </sheetView>
  </sheetViews>
  <sheetFormatPr defaultRowHeight="14.5" x14ac:dyDescent="0.35"/>
  <cols>
    <col min="1" max="1" width="3.36328125" customWidth="1"/>
    <col min="2" max="2" width="22.1796875" customWidth="1"/>
    <col min="3" max="4" width="3.36328125" customWidth="1"/>
    <col min="26" max="26" width="3.36328125" customWidth="1"/>
  </cols>
  <sheetData>
    <row r="6" spans="31:31" ht="23.5" x14ac:dyDescent="0.55000000000000004">
      <c r="AE6" s="1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D30B-60E4-4685-B421-10EFD7769A97}">
  <dimension ref="B2:H24"/>
  <sheetViews>
    <sheetView topLeftCell="A7" workbookViewId="0">
      <selection activeCell="C6" sqref="C6"/>
    </sheetView>
  </sheetViews>
  <sheetFormatPr defaultRowHeight="14.5" x14ac:dyDescent="0.35"/>
  <cols>
    <col min="1" max="1" width="3.36328125" customWidth="1"/>
    <col min="8" max="8" width="37.36328125" customWidth="1"/>
  </cols>
  <sheetData>
    <row r="2" spans="2:8" x14ac:dyDescent="0.35">
      <c r="H2" t="s">
        <v>2548</v>
      </c>
    </row>
    <row r="3" spans="2:8" x14ac:dyDescent="0.35">
      <c r="B3" t="s">
        <v>2518</v>
      </c>
    </row>
    <row r="4" spans="2:8" x14ac:dyDescent="0.35">
      <c r="H4" s="11" t="s">
        <v>2549</v>
      </c>
    </row>
    <row r="5" spans="2:8" x14ac:dyDescent="0.35">
      <c r="B5" t="s">
        <v>2519</v>
      </c>
      <c r="H5" s="11" t="s">
        <v>2550</v>
      </c>
    </row>
    <row r="6" spans="2:8" x14ac:dyDescent="0.35">
      <c r="B6" s="5"/>
      <c r="C6" t="s">
        <v>2520</v>
      </c>
      <c r="D6" t="s">
        <v>2526</v>
      </c>
      <c r="H6" t="s">
        <v>2551</v>
      </c>
    </row>
    <row r="7" spans="2:8" x14ac:dyDescent="0.35">
      <c r="B7" s="6"/>
      <c r="C7" t="s">
        <v>2521</v>
      </c>
      <c r="D7" t="s">
        <v>2527</v>
      </c>
    </row>
    <row r="8" spans="2:8" x14ac:dyDescent="0.35">
      <c r="B8" s="7"/>
      <c r="C8" t="s">
        <v>2522</v>
      </c>
      <c r="D8" t="s">
        <v>2528</v>
      </c>
    </row>
    <row r="9" spans="2:8" x14ac:dyDescent="0.35">
      <c r="B9" s="8"/>
      <c r="C9" t="s">
        <v>2523</v>
      </c>
      <c r="D9" t="s">
        <v>2529</v>
      </c>
    </row>
    <row r="10" spans="2:8" x14ac:dyDescent="0.35">
      <c r="B10" s="9"/>
      <c r="C10" t="s">
        <v>2524</v>
      </c>
      <c r="D10" t="s">
        <v>2530</v>
      </c>
    </row>
    <row r="11" spans="2:8" x14ac:dyDescent="0.35">
      <c r="B11" s="2"/>
      <c r="C11" t="s">
        <v>2525</v>
      </c>
      <c r="D11" t="s">
        <v>2531</v>
      </c>
    </row>
    <row r="13" spans="2:8" x14ac:dyDescent="0.35">
      <c r="B13" t="s">
        <v>2532</v>
      </c>
    </row>
    <row r="14" spans="2:8" x14ac:dyDescent="0.35">
      <c r="B14" t="s">
        <v>2533</v>
      </c>
      <c r="C14" t="s">
        <v>2538</v>
      </c>
    </row>
    <row r="15" spans="2:8" x14ac:dyDescent="0.35">
      <c r="B15" t="s">
        <v>2534</v>
      </c>
      <c r="C15" t="s">
        <v>2</v>
      </c>
    </row>
    <row r="16" spans="2:8" x14ac:dyDescent="0.35">
      <c r="B16" t="s">
        <v>2535</v>
      </c>
      <c r="C16" t="s">
        <v>4</v>
      </c>
    </row>
    <row r="17" spans="2:3" x14ac:dyDescent="0.35">
      <c r="B17" t="s">
        <v>2536</v>
      </c>
      <c r="C17" t="s">
        <v>2539</v>
      </c>
    </row>
    <row r="18" spans="2:3" x14ac:dyDescent="0.35">
      <c r="B18" t="s">
        <v>2537</v>
      </c>
      <c r="C18" t="s">
        <v>2540</v>
      </c>
    </row>
    <row r="21" spans="2:3" x14ac:dyDescent="0.35">
      <c r="B21" t="s">
        <v>2541</v>
      </c>
    </row>
    <row r="22" spans="2:3" x14ac:dyDescent="0.35">
      <c r="B22" t="s">
        <v>2542</v>
      </c>
      <c r="C22" t="s">
        <v>2543</v>
      </c>
    </row>
    <row r="23" spans="2:3" x14ac:dyDescent="0.35">
      <c r="B23" t="s">
        <v>2544</v>
      </c>
      <c r="C23" t="s">
        <v>2545</v>
      </c>
    </row>
    <row r="24" spans="2:3" x14ac:dyDescent="0.35">
      <c r="B24" s="10" t="s">
        <v>2546</v>
      </c>
      <c r="C24" t="s">
        <v>2547</v>
      </c>
    </row>
  </sheetData>
  <phoneticPr fontId="2" type="noConversion"/>
  <hyperlinks>
    <hyperlink ref="H4" r:id="rId1" xr:uid="{A77862B0-B580-43DF-9272-7B32B5A35427}"/>
    <hyperlink ref="H5" r:id="rId2" xr:uid="{602AE8E3-2587-4F74-A241-C4690768D1EC}"/>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Questions &amp; KPIs</vt:lpstr>
      <vt:lpstr>Pivots</vt:lpstr>
      <vt:lpstr>Sheet2</vt:lpstr>
      <vt:lpstr>Dashboard</vt:lpstr>
      <vt:lpstr>Logo &amp; Colors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abhishek pawar</cp:lastModifiedBy>
  <dcterms:created xsi:type="dcterms:W3CDTF">2025-06-13T02:42:26Z</dcterms:created>
  <dcterms:modified xsi:type="dcterms:W3CDTF">2026-01-29T08:10:33Z</dcterms:modified>
</cp:coreProperties>
</file>